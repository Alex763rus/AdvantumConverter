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24226"/>
  <xr:revisionPtr revIDLastSave="0" documentId="13_ncr:1_{7C4ACC14-F2F0-412C-9208-E2B758D4214A}" xr6:coauthVersionLast="47" xr6:coauthVersionMax="47" xr10:uidLastSave="{00000000-0000-0000-0000-000000000000}"/>
  <bookViews>
    <workbookView xWindow="28680" yWindow="-3495" windowWidth="30960" windowHeight="16800" tabRatio="752" activeTab="1" xr2:uid="{00000000-000D-0000-FFFF-FFFF00000000}"/>
  </bookViews>
  <sheets>
    <sheet name="Orders" sheetId="2" r:id="rId1"/>
    <sheet name="ДЛЯ ДОМИНО" sheetId="12" r:id="rId2"/>
  </sheets>
  <definedNames>
    <definedName name="_xlnm._FilterDatabase" localSheetId="0" hidden="1">Orders!$A$3:$CF$303</definedName>
    <definedName name="_xlnm._FilterDatabase" localSheetId="1" hidden="1">'ДЛЯ ДОМИНО'!$A$1:$AC$5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2" l="1"/>
  <c r="N2" i="12" s="1"/>
  <c r="L2" i="12"/>
  <c r="M2" i="12"/>
  <c r="O2" i="12"/>
  <c r="K3" i="12"/>
  <c r="N3" i="12" s="1"/>
  <c r="L3" i="12"/>
  <c r="M3" i="12"/>
  <c r="O3" i="12"/>
  <c r="K4" i="12"/>
  <c r="L4" i="12"/>
  <c r="M4" i="12"/>
  <c r="O4" i="12"/>
  <c r="K5" i="12"/>
  <c r="N5" i="12" s="1"/>
  <c r="L5" i="12"/>
  <c r="M5" i="12"/>
  <c r="O5" i="12"/>
  <c r="Q3" i="12" l="1"/>
  <c r="X3" i="12" s="1"/>
  <c r="P3" i="12"/>
  <c r="P5" i="12"/>
  <c r="Q2" i="12"/>
  <c r="R2" i="12" s="1"/>
  <c r="P2" i="12"/>
  <c r="Q5" i="12"/>
  <c r="P4" i="12"/>
  <c r="Q4" i="12"/>
  <c r="N4" i="12"/>
  <c r="BA232" i="2"/>
  <c r="AW232" i="2"/>
  <c r="AP232" i="2"/>
  <c r="BB232" i="2" s="1"/>
  <c r="AN232" i="2"/>
  <c r="AL232" i="2"/>
  <c r="V2" i="12" l="1"/>
  <c r="W2" i="12"/>
  <c r="U2" i="12"/>
  <c r="T2" i="12"/>
  <c r="X2" i="12"/>
  <c r="AC3" i="12"/>
  <c r="T3" i="12"/>
  <c r="S3" i="12"/>
  <c r="R3" i="12"/>
  <c r="W3" i="12"/>
  <c r="AC2" i="12"/>
  <c r="U3" i="12"/>
  <c r="V3" i="12"/>
  <c r="S2" i="12"/>
  <c r="X5" i="12"/>
  <c r="W5" i="12"/>
  <c r="AC5" i="12"/>
  <c r="V5" i="12"/>
  <c r="R5" i="12"/>
  <c r="T5" i="12"/>
  <c r="U5" i="12"/>
  <c r="S5" i="12"/>
  <c r="AC4" i="12"/>
  <c r="R4" i="12"/>
  <c r="S4" i="12"/>
  <c r="V4" i="12"/>
  <c r="W4" i="12"/>
  <c r="X4" i="12"/>
  <c r="T4" i="12"/>
  <c r="U4" i="12"/>
  <c r="AQ232" i="2"/>
  <c r="BA115" i="2" l="1"/>
  <c r="AW115" i="2"/>
  <c r="AP115" i="2"/>
  <c r="AQ115" i="2" s="1"/>
  <c r="AK115" i="2"/>
  <c r="AL115" i="2" s="1"/>
  <c r="BB115" i="2" l="1"/>
  <c r="AN115" i="2"/>
  <c r="AF299" i="2" l="1"/>
  <c r="AF296" i="2"/>
  <c r="AK167" i="2" l="1"/>
  <c r="AJ167" i="2"/>
  <c r="AK248" i="2" l="1"/>
  <c r="AJ248" i="2"/>
  <c r="AJ242" i="2" l="1"/>
  <c r="BA278" i="2" l="1"/>
  <c r="AW278" i="2"/>
  <c r="AP278" i="2"/>
  <c r="AQ278" i="2" s="1"/>
  <c r="AL278" i="2" l="1"/>
  <c r="AN278" i="2"/>
  <c r="BB278" i="2"/>
  <c r="AJ82" i="2" l="1"/>
  <c r="AJ119" i="2"/>
  <c r="AK138" i="2" l="1"/>
  <c r="AJ138" i="2"/>
  <c r="AJ22" i="2" l="1"/>
  <c r="AJ140" i="2" l="1"/>
  <c r="AJ201" i="2"/>
  <c r="AJ135" i="2"/>
  <c r="AJ174" i="2"/>
  <c r="AJ139" i="2"/>
  <c r="AJ213" i="2"/>
  <c r="AJ128" i="2"/>
  <c r="AJ156" i="2"/>
  <c r="AJ155" i="2"/>
  <c r="AK159" i="2"/>
  <c r="AK212" i="2"/>
  <c r="AK263" i="2" l="1"/>
  <c r="AJ263" i="2"/>
  <c r="AJ284" i="2" l="1"/>
  <c r="AK114" i="2" l="1"/>
  <c r="AJ16" i="2" l="1"/>
  <c r="AJ130" i="2" l="1"/>
  <c r="BA130" i="2" l="1"/>
  <c r="AP130" i="2"/>
  <c r="AQ130" i="2" s="1"/>
  <c r="BB130" i="2" l="1"/>
  <c r="AL130" i="2"/>
  <c r="AN130" i="2"/>
  <c r="AW130" i="2"/>
  <c r="BA219" i="2"/>
  <c r="AP219" i="2"/>
  <c r="AQ219" i="2" s="1"/>
  <c r="AJ219" i="2"/>
  <c r="AW219" i="2" s="1"/>
  <c r="BB219" i="2" l="1"/>
  <c r="AL219" i="2"/>
  <c r="AN219" i="2"/>
  <c r="AJ221" i="2"/>
  <c r="BA288" i="2" l="1"/>
  <c r="AW288" i="2"/>
  <c r="AP288" i="2"/>
  <c r="BB288" i="2" l="1"/>
  <c r="AQ288" i="2"/>
  <c r="AN288" i="2"/>
  <c r="AL288" i="2"/>
  <c r="AK291" i="2" l="1"/>
  <c r="AJ291" i="2"/>
  <c r="AJ190" i="2" l="1"/>
  <c r="AP260" i="2" l="1"/>
  <c r="AQ260" i="2" s="1"/>
  <c r="AP14" i="2"/>
  <c r="AQ14" i="2" s="1"/>
  <c r="AP52" i="2"/>
  <c r="AQ52" i="2" s="1"/>
  <c r="AP12" i="2"/>
  <c r="AQ12" i="2" s="1"/>
  <c r="AP11" i="2"/>
  <c r="AQ11" i="2" s="1"/>
  <c r="AP79" i="2"/>
  <c r="AQ79" i="2" s="1"/>
  <c r="AP13" i="2"/>
  <c r="AQ13" i="2" s="1"/>
  <c r="AP51" i="2"/>
  <c r="AQ51" i="2" s="1"/>
  <c r="AP270" i="2"/>
  <c r="AQ270" i="2" s="1"/>
  <c r="AP10" i="2"/>
  <c r="AQ10" i="2" s="1"/>
  <c r="AP95" i="2"/>
  <c r="AQ95" i="2" s="1"/>
  <c r="AP204" i="2"/>
  <c r="AQ204" i="2" s="1"/>
  <c r="AP264" i="2"/>
  <c r="AQ264" i="2" s="1"/>
  <c r="AP293" i="2"/>
  <c r="AQ293" i="2" s="1"/>
  <c r="AP271" i="2"/>
  <c r="AQ271" i="2" s="1"/>
  <c r="AP272" i="2"/>
  <c r="AQ272" i="2" s="1"/>
  <c r="AP78" i="2"/>
  <c r="AQ78" i="2" s="1"/>
  <c r="AP81" i="2"/>
  <c r="AQ81" i="2" s="1"/>
  <c r="AP77" i="2"/>
  <c r="AQ77" i="2" s="1"/>
  <c r="AP294" i="2"/>
  <c r="AQ294" i="2" s="1"/>
  <c r="AP295" i="2"/>
  <c r="AQ295" i="2" s="1"/>
  <c r="AP279" i="2"/>
  <c r="AQ279" i="2" s="1"/>
  <c r="AP65" i="2"/>
  <c r="AQ65" i="2" s="1"/>
  <c r="AP163" i="2"/>
  <c r="AQ163" i="2" s="1"/>
  <c r="AP111" i="2"/>
  <c r="AP63" i="2"/>
  <c r="AQ63" i="2" s="1"/>
  <c r="AP64" i="2"/>
  <c r="AQ64" i="2" s="1"/>
  <c r="AP66" i="2"/>
  <c r="AQ66" i="2" s="1"/>
  <c r="AP110" i="2"/>
  <c r="AQ110" i="2" s="1"/>
  <c r="AP60" i="2"/>
  <c r="AQ60" i="2" s="1"/>
  <c r="AP297" i="2"/>
  <c r="AQ297" i="2" s="1"/>
  <c r="AP299" i="2"/>
  <c r="AQ299" i="2" s="1"/>
  <c r="AP280" i="2"/>
  <c r="AQ280" i="2" s="1"/>
  <c r="AP298" i="2"/>
  <c r="AQ298" i="2" s="1"/>
  <c r="AP9" i="2"/>
  <c r="AQ9" i="2" s="1"/>
  <c r="AP61" i="2"/>
  <c r="AP109" i="2"/>
  <c r="AQ109" i="2" s="1"/>
  <c r="AP62" i="2"/>
  <c r="AQ62" i="2" s="1"/>
  <c r="AP263" i="2"/>
  <c r="AQ263" i="2" s="1"/>
  <c r="AP68" i="2"/>
  <c r="AQ68" i="2" s="1"/>
  <c r="AP108" i="2"/>
  <c r="AQ108" i="2" s="1"/>
  <c r="AP67" i="2"/>
  <c r="AQ67" i="2" s="1"/>
  <c r="AP150" i="2"/>
  <c r="AQ150" i="2" s="1"/>
  <c r="AP208" i="2"/>
  <c r="AQ208" i="2" s="1"/>
  <c r="AP231" i="2"/>
  <c r="AP239" i="2"/>
  <c r="AQ239" i="2" s="1"/>
  <c r="AP151" i="2"/>
  <c r="AQ151" i="2" s="1"/>
  <c r="AP70" i="2"/>
  <c r="AQ70" i="2" s="1"/>
  <c r="AP188" i="2"/>
  <c r="AQ188" i="2" s="1"/>
  <c r="AP230" i="2"/>
  <c r="AQ230" i="2" s="1"/>
  <c r="AP69" i="2"/>
  <c r="AQ69" i="2" s="1"/>
  <c r="AP291" i="2"/>
  <c r="AQ291" i="2" s="1"/>
  <c r="AP152" i="2"/>
  <c r="AQ152" i="2" s="1"/>
  <c r="AP50" i="2"/>
  <c r="AQ50" i="2" s="1"/>
  <c r="AP161" i="2"/>
  <c r="AQ161" i="2" s="1"/>
  <c r="AP162" i="2"/>
  <c r="AQ162" i="2" s="1"/>
  <c r="AP164" i="2"/>
  <c r="AQ164" i="2" s="1"/>
  <c r="AP269" i="2"/>
  <c r="AQ269" i="2" s="1"/>
  <c r="AP235" i="2"/>
  <c r="AQ235" i="2" s="1"/>
  <c r="AP234" i="2"/>
  <c r="AQ234" i="2" s="1"/>
  <c r="AP104" i="2"/>
  <c r="AQ104" i="2" s="1"/>
  <c r="AP233" i="2"/>
  <c r="AQ233" i="2" s="1"/>
  <c r="AP172" i="2"/>
  <c r="AQ172" i="2" s="1"/>
  <c r="AP166" i="2"/>
  <c r="AQ166" i="2" s="1"/>
  <c r="AP196" i="2"/>
  <c r="AQ196" i="2" s="1"/>
  <c r="AP176" i="2"/>
  <c r="AQ176" i="2" s="1"/>
  <c r="AP197" i="2"/>
  <c r="AQ197" i="2" s="1"/>
  <c r="AP193" i="2"/>
  <c r="AQ193" i="2" s="1"/>
  <c r="AP238" i="2"/>
  <c r="AQ238" i="2" s="1"/>
  <c r="AP198" i="2"/>
  <c r="AQ198" i="2" s="1"/>
  <c r="AP199" i="2"/>
  <c r="AQ199" i="2" s="1"/>
  <c r="AP250" i="2"/>
  <c r="AQ250" i="2" s="1"/>
  <c r="AP183" i="2"/>
  <c r="AQ183" i="2" s="1"/>
  <c r="AP177" i="2"/>
  <c r="AQ177" i="2" s="1"/>
  <c r="AP249" i="2"/>
  <c r="AQ249" i="2" s="1"/>
  <c r="AP248" i="2"/>
  <c r="AQ248" i="2" s="1"/>
  <c r="AP194" i="2"/>
  <c r="AQ194" i="2" s="1"/>
  <c r="AP33" i="2"/>
  <c r="AQ33" i="2" s="1"/>
  <c r="AP32" i="2"/>
  <c r="AQ32" i="2" s="1"/>
  <c r="AP30" i="2"/>
  <c r="AQ30" i="2" s="1"/>
  <c r="AP31" i="2"/>
  <c r="AQ31" i="2" s="1"/>
  <c r="AP268" i="2"/>
  <c r="AQ268" i="2" s="1"/>
  <c r="AP267" i="2"/>
  <c r="AQ267" i="2" s="1"/>
  <c r="AP99" i="2"/>
  <c r="AQ99" i="2" s="1"/>
  <c r="AP91" i="2"/>
  <c r="AQ91" i="2" s="1"/>
  <c r="AP101" i="2"/>
  <c r="AQ101" i="2" s="1"/>
  <c r="AP206" i="2"/>
  <c r="AQ206" i="2" s="1"/>
  <c r="AP92" i="2"/>
  <c r="AQ92" i="2" s="1"/>
  <c r="AP44" i="2"/>
  <c r="AQ44" i="2" s="1"/>
  <c r="AP29" i="2"/>
  <c r="AQ29" i="2" s="1"/>
  <c r="AP42" i="2"/>
  <c r="AQ42" i="2" s="1"/>
  <c r="AP43" i="2"/>
  <c r="AQ43" i="2" s="1"/>
  <c r="AP184" i="2"/>
  <c r="AQ184" i="2" s="1"/>
  <c r="AP47" i="2"/>
  <c r="AQ47" i="2" s="1"/>
  <c r="AP227" i="2"/>
  <c r="AQ227" i="2" s="1"/>
  <c r="AP185" i="2"/>
  <c r="AQ185" i="2" s="1"/>
  <c r="AP143" i="2"/>
  <c r="AQ143" i="2" s="1"/>
  <c r="AP41" i="2"/>
  <c r="AQ41" i="2" s="1"/>
  <c r="AP40" i="2"/>
  <c r="AQ40" i="2" s="1"/>
  <c r="AP302" i="2"/>
  <c r="AQ302" i="2" s="1"/>
  <c r="AP186" i="2"/>
  <c r="AQ186" i="2" s="1"/>
  <c r="AP187" i="2"/>
  <c r="AQ187" i="2" s="1"/>
  <c r="AP102" i="2"/>
  <c r="AQ102" i="2" s="1"/>
  <c r="AP303" i="2"/>
  <c r="AQ303" i="2" s="1"/>
  <c r="AP200" i="2"/>
  <c r="AQ200" i="2" s="1"/>
  <c r="AP100" i="2"/>
  <c r="AQ100" i="2" s="1"/>
  <c r="AP301" i="2"/>
  <c r="AQ301" i="2" s="1"/>
  <c r="AP290" i="2"/>
  <c r="AQ290" i="2" s="1"/>
  <c r="AP202" i="2"/>
  <c r="AQ202" i="2" s="1"/>
  <c r="AP287" i="2"/>
  <c r="AQ287" i="2" s="1"/>
  <c r="AP207" i="2"/>
  <c r="AQ207" i="2" s="1"/>
  <c r="AP203" i="2"/>
  <c r="AQ203" i="2" s="1"/>
  <c r="AP195" i="2"/>
  <c r="AQ195" i="2" s="1"/>
  <c r="AP276" i="2"/>
  <c r="AQ276" i="2" s="1"/>
  <c r="AP277" i="2"/>
  <c r="AQ277" i="2" s="1"/>
  <c r="AP72" i="2"/>
  <c r="AQ72" i="2" s="1"/>
  <c r="AP289" i="2"/>
  <c r="AQ289" i="2" s="1"/>
  <c r="AP220" i="2"/>
  <c r="AQ220" i="2" s="1"/>
  <c r="AP286" i="2"/>
  <c r="AQ286" i="2" s="1"/>
  <c r="AP221" i="2"/>
  <c r="AQ221" i="2" s="1"/>
  <c r="AP244" i="2"/>
  <c r="AQ244" i="2" s="1"/>
  <c r="AP205" i="2"/>
  <c r="AQ205" i="2" s="1"/>
  <c r="AP300" i="2"/>
  <c r="AQ300" i="2" s="1"/>
  <c r="AP281" i="2"/>
  <c r="AQ281" i="2" s="1"/>
  <c r="AP243" i="2"/>
  <c r="AQ243" i="2" s="1"/>
  <c r="AP107" i="2"/>
  <c r="AQ107" i="2" s="1"/>
  <c r="AP214" i="2"/>
  <c r="AQ214" i="2" s="1"/>
  <c r="AP117" i="2"/>
  <c r="AQ117" i="2" s="1"/>
  <c r="AP258" i="2"/>
  <c r="AQ258" i="2" s="1"/>
  <c r="AP228" i="2"/>
  <c r="AQ228" i="2" s="1"/>
  <c r="AP251" i="2"/>
  <c r="AQ251" i="2" s="1"/>
  <c r="AP114" i="2"/>
  <c r="AQ114" i="2" s="1"/>
  <c r="AP113" i="2"/>
  <c r="AQ113" i="2" s="1"/>
  <c r="AP116" i="2"/>
  <c r="AQ116" i="2" s="1"/>
  <c r="AP83" i="2"/>
  <c r="AQ83" i="2" s="1"/>
  <c r="AP35" i="2"/>
  <c r="AQ35" i="2" s="1"/>
  <c r="AP36" i="2"/>
  <c r="AQ36" i="2" s="1"/>
  <c r="AP89" i="2"/>
  <c r="AQ89" i="2" s="1"/>
  <c r="AP84" i="2"/>
  <c r="AQ84" i="2" s="1"/>
  <c r="AP266" i="2"/>
  <c r="AQ266" i="2" s="1"/>
  <c r="AP94" i="2"/>
  <c r="AQ94" i="2" s="1"/>
  <c r="AP34" i="2"/>
  <c r="AQ34" i="2" s="1"/>
  <c r="AP93" i="2"/>
  <c r="AQ93" i="2" s="1"/>
  <c r="AP284" i="2"/>
  <c r="AQ284" i="2" s="1"/>
  <c r="AP285" i="2"/>
  <c r="AQ285" i="2" s="1"/>
  <c r="AP49" i="2"/>
  <c r="AQ49" i="2" s="1"/>
  <c r="AP275" i="2"/>
  <c r="AQ275" i="2" s="1"/>
  <c r="AP283" i="2"/>
  <c r="AQ283" i="2" s="1"/>
  <c r="AP274" i="2"/>
  <c r="AQ274" i="2" s="1"/>
  <c r="AP273" i="2"/>
  <c r="AQ273" i="2" s="1"/>
  <c r="AP282" i="2"/>
  <c r="AQ282" i="2" s="1"/>
  <c r="AP16" i="2"/>
  <c r="AQ16" i="2" s="1"/>
  <c r="AP18" i="2"/>
  <c r="AQ18" i="2" s="1"/>
  <c r="AP19" i="2"/>
  <c r="AQ19" i="2" s="1"/>
  <c r="AP37" i="2"/>
  <c r="AQ37" i="2" s="1"/>
  <c r="AP38" i="2"/>
  <c r="AQ38" i="2" s="1"/>
  <c r="AP39" i="2"/>
  <c r="AQ39" i="2" s="1"/>
  <c r="AP17" i="2"/>
  <c r="AQ17" i="2" s="1"/>
  <c r="AP15" i="2"/>
  <c r="AQ15" i="2" s="1"/>
  <c r="AP48" i="2"/>
  <c r="AQ48" i="2" s="1"/>
  <c r="AP76" i="2"/>
  <c r="AQ76" i="2" s="1"/>
  <c r="AP75" i="2"/>
  <c r="AQ75" i="2" s="1"/>
  <c r="AP86" i="2"/>
  <c r="AQ86" i="2" s="1"/>
  <c r="AP85" i="2"/>
  <c r="AQ85" i="2" s="1"/>
  <c r="AP90" i="2"/>
  <c r="AQ90" i="2" s="1"/>
  <c r="AP259" i="2"/>
  <c r="AQ259" i="2" s="1"/>
  <c r="AP241" i="2"/>
  <c r="AQ241" i="2" s="1"/>
  <c r="AP73" i="2"/>
  <c r="AQ73" i="2" s="1"/>
  <c r="AP74" i="2"/>
  <c r="AQ74" i="2" s="1"/>
  <c r="AP119" i="2"/>
  <c r="AQ119" i="2" s="1"/>
  <c r="AP82" i="2"/>
  <c r="AQ82" i="2" s="1"/>
  <c r="AP56" i="2"/>
  <c r="AQ56" i="2" s="1"/>
  <c r="AP57" i="2"/>
  <c r="AQ57" i="2" s="1"/>
  <c r="AP58" i="2"/>
  <c r="AQ58" i="2" s="1"/>
  <c r="AP88" i="2"/>
  <c r="AQ88" i="2" s="1"/>
  <c r="AP96" i="2"/>
  <c r="AQ96" i="2" s="1"/>
  <c r="AP87" i="2"/>
  <c r="AQ87" i="2" s="1"/>
  <c r="AP97" i="2"/>
  <c r="AQ97" i="2" s="1"/>
  <c r="AP246" i="2"/>
  <c r="AQ246" i="2" s="1"/>
  <c r="AP247" i="2"/>
  <c r="AQ247" i="2" s="1"/>
  <c r="AP245" i="2"/>
  <c r="AQ245" i="2" s="1"/>
  <c r="AP226" i="2"/>
  <c r="AQ226" i="2" s="1"/>
  <c r="AP217" i="2"/>
  <c r="AQ217" i="2" s="1"/>
  <c r="AP215" i="2"/>
  <c r="AQ215" i="2" s="1"/>
  <c r="AP142" i="2"/>
  <c r="AQ142" i="2" s="1"/>
  <c r="AP71" i="2"/>
  <c r="AQ71" i="2" s="1"/>
  <c r="AP218" i="2"/>
  <c r="AQ218" i="2" s="1"/>
  <c r="AP180" i="2"/>
  <c r="AP175" i="2"/>
  <c r="AQ175" i="2" s="1"/>
  <c r="AP105" i="2"/>
  <c r="AQ105" i="2" s="1"/>
  <c r="AP154" i="2"/>
  <c r="AQ154" i="2" s="1"/>
  <c r="AP155" i="2"/>
  <c r="AQ155" i="2" s="1"/>
  <c r="AP156" i="2"/>
  <c r="AP128" i="2"/>
  <c r="AQ128" i="2" s="1"/>
  <c r="AP213" i="2"/>
  <c r="AQ213" i="2" s="1"/>
  <c r="AP138" i="2"/>
  <c r="AQ138" i="2" s="1"/>
  <c r="AP139" i="2"/>
  <c r="AP174" i="2"/>
  <c r="AQ174" i="2" s="1"/>
  <c r="AP135" i="2"/>
  <c r="AQ135" i="2" s="1"/>
  <c r="AP129" i="2"/>
  <c r="AQ129" i="2" s="1"/>
  <c r="AP201" i="2"/>
  <c r="AQ201" i="2" s="1"/>
  <c r="AP212" i="2"/>
  <c r="AQ212" i="2" s="1"/>
  <c r="AP140" i="2"/>
  <c r="AQ140" i="2" s="1"/>
  <c r="AP159" i="2"/>
  <c r="AQ159" i="2" s="1"/>
  <c r="AP141" i="2"/>
  <c r="AQ141" i="2" s="1"/>
  <c r="AP181" i="2"/>
  <c r="AQ181" i="2" s="1"/>
  <c r="AP178" i="2"/>
  <c r="AQ178" i="2" s="1"/>
  <c r="AP182" i="2"/>
  <c r="AQ182" i="2" s="1"/>
  <c r="AP98" i="2"/>
  <c r="AQ98" i="2" s="1"/>
  <c r="AP148" i="2"/>
  <c r="AQ148" i="2" s="1"/>
  <c r="AP136" i="2"/>
  <c r="AQ136" i="2" s="1"/>
  <c r="AP149" i="2"/>
  <c r="AQ149" i="2" s="1"/>
  <c r="AP168" i="2"/>
  <c r="AQ168" i="2" s="1"/>
  <c r="AP106" i="2"/>
  <c r="AQ106" i="2" s="1"/>
  <c r="AP5" i="2"/>
  <c r="AP137" i="2"/>
  <c r="AQ137" i="2" s="1"/>
  <c r="AP157" i="2"/>
  <c r="AQ157" i="2" s="1"/>
  <c r="AP7" i="2"/>
  <c r="AQ7" i="2" s="1"/>
  <c r="AP158" i="2"/>
  <c r="AQ158" i="2" s="1"/>
  <c r="AP6" i="2"/>
  <c r="AQ6" i="2" s="1"/>
  <c r="AP59" i="2"/>
  <c r="AQ59" i="2" s="1"/>
  <c r="AP103" i="2"/>
  <c r="AQ103" i="2" s="1"/>
  <c r="AP160" i="2"/>
  <c r="AQ160" i="2" s="1"/>
  <c r="AP8" i="2"/>
  <c r="AQ8" i="2" s="1"/>
  <c r="AP132" i="2"/>
  <c r="AQ132" i="2" s="1"/>
  <c r="AP131" i="2"/>
  <c r="AQ131" i="2" s="1"/>
  <c r="AP153" i="2"/>
  <c r="AQ153" i="2" s="1"/>
  <c r="AP134" i="2"/>
  <c r="AQ134" i="2" s="1"/>
  <c r="AP179" i="2"/>
  <c r="AQ179" i="2" s="1"/>
  <c r="AP133" i="2"/>
  <c r="AQ133" i="2" s="1"/>
  <c r="AP126" i="2"/>
  <c r="AQ126" i="2" s="1"/>
  <c r="AP127" i="2"/>
  <c r="AQ127" i="2" s="1"/>
  <c r="AP167" i="2"/>
  <c r="AQ167" i="2" s="1"/>
  <c r="AP192" i="2"/>
  <c r="AP229" i="2"/>
  <c r="AQ229" i="2" s="1"/>
  <c r="AP292" i="2"/>
  <c r="AQ292" i="2" s="1"/>
  <c r="AP165" i="2"/>
  <c r="AQ165" i="2" s="1"/>
  <c r="AP112" i="2"/>
  <c r="AQ112" i="2" s="1"/>
  <c r="AP262" i="2"/>
  <c r="AQ262" i="2" s="1"/>
  <c r="AP261" i="2"/>
  <c r="AQ261" i="2" s="1"/>
  <c r="AP240" i="2"/>
  <c r="AQ240" i="2" s="1"/>
  <c r="AP224" i="2"/>
  <c r="AQ224" i="2" s="1"/>
  <c r="AP242" i="2"/>
  <c r="AQ242" i="2" s="1"/>
  <c r="AP53" i="2"/>
  <c r="AQ53" i="2" s="1"/>
  <c r="AP28" i="2"/>
  <c r="AQ28" i="2" s="1"/>
  <c r="AP54" i="2"/>
  <c r="AQ54" i="2" s="1"/>
  <c r="AP265" i="2"/>
  <c r="AQ265" i="2" s="1"/>
  <c r="AP27" i="2"/>
  <c r="AQ27" i="2" s="1"/>
  <c r="AP55" i="2"/>
  <c r="AQ55" i="2" s="1"/>
  <c r="AP26" i="2"/>
  <c r="AQ26" i="2" s="1"/>
  <c r="AP21" i="2"/>
  <c r="AQ21" i="2" s="1"/>
  <c r="AP22" i="2"/>
  <c r="AQ22" i="2" s="1"/>
  <c r="AP20" i="2"/>
  <c r="AQ20" i="2" s="1"/>
  <c r="AP173" i="2"/>
  <c r="AQ173" i="2" s="1"/>
  <c r="AP25" i="2"/>
  <c r="AQ25" i="2" s="1"/>
  <c r="AP23" i="2"/>
  <c r="AQ23" i="2" s="1"/>
  <c r="AP296" i="2"/>
  <c r="AQ296" i="2" s="1"/>
  <c r="AP24" i="2"/>
  <c r="AQ24" i="2" s="1"/>
  <c r="AP210" i="2"/>
  <c r="AQ210" i="2" s="1"/>
  <c r="AP209" i="2"/>
  <c r="AQ209" i="2" s="1"/>
  <c r="AP216" i="2"/>
  <c r="AQ216" i="2" s="1"/>
  <c r="AP211" i="2"/>
  <c r="AQ211" i="2" s="1"/>
  <c r="AP147" i="2"/>
  <c r="AQ147" i="2" s="1"/>
  <c r="AP124" i="2"/>
  <c r="AQ124" i="2" s="1"/>
  <c r="AP125" i="2"/>
  <c r="AQ125" i="2" s="1"/>
  <c r="AP146" i="2"/>
  <c r="AQ146" i="2" s="1"/>
  <c r="AP145" i="2"/>
  <c r="AQ145" i="2" s="1"/>
  <c r="AP144" i="2"/>
  <c r="AQ144" i="2" s="1"/>
  <c r="AP236" i="2"/>
  <c r="AQ236" i="2" s="1"/>
  <c r="AP170" i="2"/>
  <c r="AQ170" i="2" s="1"/>
  <c r="AP169" i="2"/>
  <c r="AQ169" i="2" s="1"/>
  <c r="AP171" i="2"/>
  <c r="AQ171" i="2" s="1"/>
  <c r="AP237" i="2"/>
  <c r="AQ237" i="2" s="1"/>
  <c r="AP45" i="2"/>
  <c r="AP257" i="2"/>
  <c r="AQ257" i="2" s="1"/>
  <c r="AP256" i="2"/>
  <c r="AQ256" i="2" s="1"/>
  <c r="AP46" i="2"/>
  <c r="AQ46" i="2" s="1"/>
  <c r="AP255" i="2"/>
  <c r="AQ255" i="2" s="1"/>
  <c r="AP189" i="2"/>
  <c r="AQ189" i="2" s="1"/>
  <c r="AP118" i="2"/>
  <c r="AQ118" i="2" s="1"/>
  <c r="AP223" i="2"/>
  <c r="AQ223" i="2" s="1"/>
  <c r="AP122" i="2"/>
  <c r="AQ122" i="2" s="1"/>
  <c r="AP123" i="2"/>
  <c r="AQ123" i="2" s="1"/>
  <c r="AP225" i="2"/>
  <c r="AQ225" i="2" s="1"/>
  <c r="AP190" i="2"/>
  <c r="AQ190" i="2" s="1"/>
  <c r="AP191" i="2"/>
  <c r="AQ191" i="2" s="1"/>
  <c r="AP121" i="2"/>
  <c r="AQ121" i="2" s="1"/>
  <c r="AP252" i="2"/>
  <c r="AQ252" i="2" s="1"/>
  <c r="AP222" i="2"/>
  <c r="AQ222" i="2" s="1"/>
  <c r="AP254" i="2"/>
  <c r="AQ254" i="2" s="1"/>
  <c r="AP253" i="2"/>
  <c r="AQ253" i="2" s="1"/>
  <c r="AP120" i="2"/>
  <c r="AQ120" i="2" s="1"/>
  <c r="AP80" i="2"/>
  <c r="AQ80" i="2" s="1"/>
  <c r="AQ192" i="2" l="1"/>
  <c r="AK192" i="2"/>
  <c r="BB156" i="2"/>
  <c r="AQ156" i="2"/>
  <c r="BB231" i="2"/>
  <c r="AQ231" i="2"/>
  <c r="BB61" i="2"/>
  <c r="AQ61" i="2"/>
  <c r="BB111" i="2"/>
  <c r="AQ111" i="2"/>
  <c r="BB5" i="2"/>
  <c r="AQ5" i="2"/>
  <c r="BB45" i="2"/>
  <c r="AQ45" i="2"/>
  <c r="BB139" i="2"/>
  <c r="AQ139" i="2"/>
  <c r="BB180" i="2"/>
  <c r="AQ180" i="2"/>
  <c r="AN184" i="2"/>
  <c r="BA184" i="2"/>
  <c r="AW184" i="2"/>
  <c r="BB184" i="2" l="1"/>
  <c r="AL184" i="2"/>
  <c r="BB47" i="2"/>
  <c r="BB43" i="2" l="1"/>
  <c r="BB235" i="2"/>
  <c r="BB109" i="2"/>
  <c r="BB175" i="2" l="1"/>
  <c r="BB246" i="2"/>
  <c r="BB233" i="2"/>
  <c r="BB152" i="2"/>
  <c r="BA279" i="2" l="1"/>
  <c r="AW279" i="2" l="1"/>
  <c r="AN279" i="2" l="1"/>
  <c r="AL279" i="2"/>
  <c r="BB279" i="2"/>
  <c r="AJ289" i="2"/>
  <c r="AW260" i="2" l="1"/>
  <c r="AW14" i="2"/>
  <c r="AW52" i="2"/>
  <c r="AW12" i="2"/>
  <c r="AW11" i="2"/>
  <c r="AW79" i="2"/>
  <c r="AW51" i="2"/>
  <c r="AW270" i="2"/>
  <c r="AW10" i="2"/>
  <c r="AW95" i="2"/>
  <c r="AW204" i="2"/>
  <c r="AW65" i="2"/>
  <c r="AW163" i="2"/>
  <c r="AW111" i="2"/>
  <c r="AW63" i="2"/>
  <c r="AW64" i="2"/>
  <c r="AW66" i="2"/>
  <c r="AW110" i="2"/>
  <c r="AW150" i="2"/>
  <c r="AW208" i="2"/>
  <c r="AW231" i="2"/>
  <c r="AW239" i="2"/>
  <c r="AW151" i="2"/>
  <c r="AW70" i="2"/>
  <c r="AW188" i="2"/>
  <c r="AW230" i="2"/>
  <c r="AW69" i="2"/>
  <c r="AW291" i="2"/>
  <c r="AW50" i="2"/>
  <c r="AW161" i="2"/>
  <c r="AW162" i="2"/>
  <c r="AW164" i="2"/>
  <c r="AW269" i="2"/>
  <c r="AW235" i="2"/>
  <c r="AW234" i="2"/>
  <c r="AW104" i="2"/>
  <c r="AW233" i="2"/>
  <c r="AW172" i="2"/>
  <c r="AW166" i="2"/>
  <c r="AW196" i="2"/>
  <c r="AW176" i="2"/>
  <c r="AW197" i="2"/>
  <c r="AW193" i="2"/>
  <c r="AW238" i="2"/>
  <c r="AW198" i="2"/>
  <c r="AW199" i="2"/>
  <c r="AW250" i="2"/>
  <c r="AW183" i="2"/>
  <c r="AW177" i="2"/>
  <c r="AW249" i="2"/>
  <c r="AW248" i="2"/>
  <c r="AW194" i="2"/>
  <c r="AW33" i="2"/>
  <c r="AW32" i="2"/>
  <c r="AW30" i="2"/>
  <c r="AW31" i="2"/>
  <c r="AW99" i="2"/>
  <c r="AW91" i="2"/>
  <c r="AW101" i="2"/>
  <c r="AW206" i="2"/>
  <c r="AW92" i="2"/>
  <c r="AW44" i="2"/>
  <c r="AW29" i="2"/>
  <c r="AW42" i="2"/>
  <c r="AW43" i="2"/>
  <c r="AW47" i="2"/>
  <c r="AW227" i="2"/>
  <c r="AW185" i="2"/>
  <c r="AW143" i="2"/>
  <c r="AW41" i="2"/>
  <c r="AW40" i="2"/>
  <c r="AW302" i="2"/>
  <c r="AW186" i="2"/>
  <c r="AW187" i="2"/>
  <c r="AW102" i="2"/>
  <c r="AW303" i="2"/>
  <c r="AW200" i="2"/>
  <c r="AW100" i="2"/>
  <c r="AW301" i="2"/>
  <c r="AW202" i="2"/>
  <c r="AW195" i="2"/>
  <c r="AW276" i="2"/>
  <c r="AW289" i="2"/>
  <c r="AW117" i="2"/>
  <c r="AW258" i="2"/>
  <c r="AW228" i="2"/>
  <c r="AW251" i="2"/>
  <c r="AW114" i="2"/>
  <c r="AW113" i="2"/>
  <c r="AW116" i="2"/>
  <c r="AW83" i="2"/>
  <c r="AW35" i="2"/>
  <c r="AW36" i="2"/>
  <c r="AW89" i="2"/>
  <c r="AW84" i="2"/>
  <c r="AW259" i="2"/>
  <c r="AW241" i="2"/>
  <c r="AW73" i="2"/>
  <c r="AW74" i="2"/>
  <c r="AW119" i="2"/>
  <c r="AW82" i="2"/>
  <c r="AW246" i="2"/>
  <c r="AW247" i="2"/>
  <c r="AW245" i="2"/>
  <c r="AW226" i="2"/>
  <c r="AW217" i="2"/>
  <c r="AW215" i="2"/>
  <c r="AW142" i="2"/>
  <c r="AW218" i="2"/>
  <c r="AW180" i="2"/>
  <c r="AW175" i="2"/>
  <c r="AW105" i="2"/>
  <c r="AW181" i="2"/>
  <c r="AW178" i="2"/>
  <c r="AW182" i="2"/>
  <c r="AW98" i="2"/>
  <c r="AW148" i="2"/>
  <c r="AW136" i="2"/>
  <c r="AW149" i="2"/>
  <c r="AW168" i="2"/>
  <c r="AW106" i="2"/>
  <c r="AW5" i="2"/>
  <c r="AW137" i="2"/>
  <c r="AW157" i="2"/>
  <c r="AW7" i="2"/>
  <c r="AW158" i="2"/>
  <c r="AW103" i="2"/>
  <c r="AW160" i="2"/>
  <c r="AW8" i="2"/>
  <c r="AW132" i="2"/>
  <c r="AW131" i="2"/>
  <c r="AW153" i="2"/>
  <c r="AW134" i="2"/>
  <c r="AW179" i="2"/>
  <c r="AW133" i="2"/>
  <c r="AW126" i="2"/>
  <c r="AW127" i="2"/>
  <c r="AW167" i="2"/>
  <c r="AW192" i="2"/>
  <c r="AW229" i="2"/>
  <c r="AW292" i="2"/>
  <c r="AW165" i="2"/>
  <c r="AW112" i="2"/>
  <c r="AW262" i="2"/>
  <c r="AW261" i="2"/>
  <c r="AW240" i="2"/>
  <c r="AW224" i="2"/>
  <c r="AW242" i="2"/>
  <c r="AW53" i="2"/>
  <c r="AW28" i="2"/>
  <c r="AW54" i="2"/>
  <c r="AW210" i="2"/>
  <c r="AW209" i="2"/>
  <c r="AW216" i="2"/>
  <c r="AW211" i="2"/>
  <c r="AW147" i="2"/>
  <c r="AW124" i="2"/>
  <c r="AW125" i="2"/>
  <c r="AW146" i="2"/>
  <c r="AW145" i="2"/>
  <c r="AW144" i="2"/>
  <c r="AW236" i="2"/>
  <c r="AW170" i="2"/>
  <c r="AW169" i="2"/>
  <c r="AW171" i="2"/>
  <c r="AW237" i="2"/>
  <c r="AW45" i="2"/>
  <c r="AW257" i="2"/>
  <c r="AW256" i="2"/>
  <c r="AW46" i="2"/>
  <c r="AW255" i="2"/>
  <c r="AW189" i="2"/>
  <c r="AW118" i="2"/>
  <c r="AW223" i="2"/>
  <c r="AW122" i="2"/>
  <c r="AW123" i="2"/>
  <c r="AW225" i="2"/>
  <c r="AW190" i="2"/>
  <c r="AW191" i="2"/>
  <c r="AW121" i="2"/>
  <c r="AW252" i="2"/>
  <c r="AW222" i="2"/>
  <c r="AW254" i="2"/>
  <c r="AW253" i="2"/>
  <c r="AW120" i="2"/>
  <c r="AW80" i="2"/>
  <c r="AW22" i="2" l="1"/>
  <c r="BA289" i="2" l="1"/>
  <c r="BB289" i="2" l="1"/>
  <c r="AN289" i="2"/>
  <c r="AL289" i="2"/>
  <c r="AJ38" i="2" l="1"/>
  <c r="AW38" i="2" s="1"/>
  <c r="AJ39" i="2"/>
  <c r="AW39" i="2" s="1"/>
  <c r="AJ15" i="2"/>
  <c r="AW15" i="2" s="1"/>
  <c r="AJ48" i="2"/>
  <c r="AW48" i="2" s="1"/>
  <c r="AJ129" i="2"/>
  <c r="AW129" i="2" s="1"/>
  <c r="AJ6" i="2"/>
  <c r="AW6" i="2" s="1"/>
  <c r="AJ59" i="2"/>
  <c r="AW59" i="2" s="1"/>
  <c r="AJ21" i="2"/>
  <c r="AW21" i="2" s="1"/>
  <c r="AJ20" i="2"/>
  <c r="AW20" i="2" s="1"/>
  <c r="AJ173" i="2"/>
  <c r="AW173" i="2" s="1"/>
  <c r="AJ25" i="2"/>
  <c r="AW25" i="2" s="1"/>
  <c r="AJ23" i="2"/>
  <c r="AW23" i="2" s="1"/>
  <c r="AJ296" i="2"/>
  <c r="AW296" i="2" s="1"/>
  <c r="AJ264" i="2"/>
  <c r="AW264" i="2" s="1"/>
  <c r="AJ293" i="2"/>
  <c r="AW293" i="2" s="1"/>
  <c r="AJ78" i="2"/>
  <c r="AW78" i="2" s="1"/>
  <c r="AJ81" i="2"/>
  <c r="AW81" i="2" s="1"/>
  <c r="AJ294" i="2"/>
  <c r="AW294" i="2" s="1"/>
  <c r="AJ295" i="2"/>
  <c r="AW295" i="2" s="1"/>
  <c r="AJ297" i="2"/>
  <c r="AW297" i="2" s="1"/>
  <c r="AJ280" i="2"/>
  <c r="AW280" i="2" s="1"/>
  <c r="AJ109" i="2"/>
  <c r="AW109" i="2" s="1"/>
  <c r="AJ62" i="2"/>
  <c r="AW62" i="2" s="1"/>
  <c r="AJ68" i="2"/>
  <c r="AW68" i="2" s="1"/>
  <c r="AJ67" i="2"/>
  <c r="AW67" i="2" s="1"/>
  <c r="AJ268" i="2"/>
  <c r="AW268" i="2" s="1"/>
  <c r="AJ267" i="2"/>
  <c r="AW267" i="2" s="1"/>
  <c r="AJ290" i="2"/>
  <c r="AW290" i="2" s="1"/>
  <c r="AJ287" i="2"/>
  <c r="AW287" i="2" s="1"/>
  <c r="AJ207" i="2"/>
  <c r="AW207" i="2" s="1"/>
  <c r="AJ203" i="2"/>
  <c r="AW203" i="2" s="1"/>
  <c r="AJ72" i="2"/>
  <c r="AW72" i="2" s="1"/>
  <c r="AJ220" i="2"/>
  <c r="AW220" i="2" s="1"/>
  <c r="AJ286" i="2"/>
  <c r="AW286" i="2" s="1"/>
  <c r="AJ300" i="2"/>
  <c r="AW300" i="2" s="1"/>
  <c r="AJ243" i="2"/>
  <c r="AW243" i="2" s="1"/>
  <c r="AJ214" i="2"/>
  <c r="AW214" i="2" s="1"/>
  <c r="AJ94" i="2"/>
  <c r="AW94" i="2" s="1"/>
  <c r="AJ93" i="2"/>
  <c r="AW93" i="2" s="1"/>
  <c r="AJ49" i="2"/>
  <c r="AW49" i="2" s="1"/>
  <c r="AJ18" i="2"/>
  <c r="AW18" i="2" s="1"/>
  <c r="AJ19" i="2"/>
  <c r="AW19" i="2" s="1"/>
  <c r="AJ37" i="2"/>
  <c r="AW37" i="2" s="1"/>
  <c r="AJ271" i="2"/>
  <c r="AW271" i="2" s="1"/>
  <c r="AJ272" i="2"/>
  <c r="AW272" i="2" s="1"/>
  <c r="AJ77" i="2"/>
  <c r="AW77" i="2" s="1"/>
  <c r="AJ60" i="2"/>
  <c r="AW60" i="2" s="1"/>
  <c r="AJ299" i="2"/>
  <c r="AW299" i="2" s="1"/>
  <c r="AJ298" i="2"/>
  <c r="AW298" i="2" s="1"/>
  <c r="AJ9" i="2"/>
  <c r="AW9" i="2" s="1"/>
  <c r="AJ61" i="2"/>
  <c r="AW61" i="2" s="1"/>
  <c r="AJ108" i="2"/>
  <c r="AW108" i="2" s="1"/>
  <c r="AJ277" i="2"/>
  <c r="AW277" i="2" s="1"/>
  <c r="AJ244" i="2"/>
  <c r="AW244" i="2" s="1"/>
  <c r="AJ205" i="2"/>
  <c r="AW205" i="2" s="1"/>
  <c r="AJ281" i="2"/>
  <c r="AW281" i="2" s="1"/>
  <c r="AJ107" i="2"/>
  <c r="AW107" i="2" s="1"/>
  <c r="AJ266" i="2"/>
  <c r="AW266" i="2" s="1"/>
  <c r="AJ34" i="2"/>
  <c r="AW34" i="2" s="1"/>
  <c r="AJ285" i="2"/>
  <c r="AW285" i="2" s="1"/>
  <c r="AJ275" i="2"/>
  <c r="AW275" i="2" s="1"/>
  <c r="AJ283" i="2"/>
  <c r="AW283" i="2" s="1"/>
  <c r="AJ274" i="2"/>
  <c r="AW274" i="2" s="1"/>
  <c r="AJ282" i="2"/>
  <c r="AW282" i="2" s="1"/>
  <c r="AJ17" i="2"/>
  <c r="AW17" i="2" s="1"/>
  <c r="AJ76" i="2"/>
  <c r="AW76" i="2" s="1"/>
  <c r="AJ75" i="2"/>
  <c r="AW75" i="2" s="1"/>
  <c r="AJ86" i="2"/>
  <c r="AW86" i="2" s="1"/>
  <c r="AJ85" i="2"/>
  <c r="AW85" i="2" s="1"/>
  <c r="AJ90" i="2"/>
  <c r="AW90" i="2" s="1"/>
  <c r="AJ56" i="2"/>
  <c r="AW56" i="2" s="1"/>
  <c r="AJ57" i="2"/>
  <c r="AW57" i="2" s="1"/>
  <c r="AJ58" i="2"/>
  <c r="AW58" i="2" s="1"/>
  <c r="AJ88" i="2"/>
  <c r="AW88" i="2" s="1"/>
  <c r="AJ96" i="2"/>
  <c r="AW96" i="2" s="1"/>
  <c r="AJ87" i="2"/>
  <c r="AW87" i="2" s="1"/>
  <c r="AJ97" i="2"/>
  <c r="AW97" i="2" s="1"/>
  <c r="AJ154" i="2"/>
  <c r="AW154" i="2" s="1"/>
  <c r="AW155" i="2"/>
  <c r="AW156" i="2"/>
  <c r="AW128" i="2"/>
  <c r="AW213" i="2"/>
  <c r="AW139" i="2"/>
  <c r="AW174" i="2"/>
  <c r="AW135" i="2"/>
  <c r="AW201" i="2"/>
  <c r="AW140" i="2"/>
  <c r="AJ141" i="2"/>
  <c r="AW141" i="2" s="1"/>
  <c r="AJ265" i="2"/>
  <c r="AW265" i="2" s="1"/>
  <c r="AJ27" i="2"/>
  <c r="AW27" i="2" s="1"/>
  <c r="AJ55" i="2"/>
  <c r="AW55" i="2" s="1"/>
  <c r="AJ26" i="2"/>
  <c r="AW26" i="2" s="1"/>
  <c r="AJ24" i="2"/>
  <c r="AW24" i="2" s="1"/>
  <c r="AJ13" i="2"/>
  <c r="AW13" i="2" s="1"/>
  <c r="AW221" i="2"/>
  <c r="AW284" i="2"/>
  <c r="AJ273" i="2"/>
  <c r="AW273" i="2" s="1"/>
  <c r="AW16" i="2"/>
  <c r="AW138" i="2"/>
  <c r="AJ212" i="2"/>
  <c r="AW212" i="2" s="1"/>
  <c r="AJ159" i="2"/>
  <c r="AW159" i="2" s="1"/>
  <c r="AW263" i="2"/>
  <c r="AJ71" i="2" l="1"/>
  <c r="AW71" i="2" s="1"/>
  <c r="AJ152" i="2"/>
  <c r="AW152" i="2" s="1"/>
  <c r="BA8" i="2" l="1"/>
  <c r="BB8" i="2" l="1"/>
  <c r="AN8" i="2"/>
  <c r="AL8" i="2"/>
  <c r="BA260" i="2" l="1"/>
  <c r="BA14" i="2"/>
  <c r="BA52" i="2"/>
  <c r="BA12" i="2"/>
  <c r="BA11" i="2"/>
  <c r="BA79" i="2"/>
  <c r="BA13" i="2"/>
  <c r="BA51" i="2"/>
  <c r="BA270" i="2"/>
  <c r="BA10" i="2"/>
  <c r="BA95" i="2"/>
  <c r="BA204" i="2"/>
  <c r="BA264" i="2"/>
  <c r="BA293" i="2"/>
  <c r="BA271" i="2"/>
  <c r="BA272" i="2"/>
  <c r="BA78" i="2"/>
  <c r="BA81" i="2"/>
  <c r="BA77" i="2"/>
  <c r="BA294" i="2"/>
  <c r="BA295" i="2"/>
  <c r="BA65" i="2"/>
  <c r="BA163" i="2"/>
  <c r="BA111" i="2"/>
  <c r="BA63" i="2"/>
  <c r="BA64" i="2"/>
  <c r="BA66" i="2"/>
  <c r="BA110" i="2"/>
  <c r="BA60" i="2"/>
  <c r="BA297" i="2"/>
  <c r="BA299" i="2"/>
  <c r="BA280" i="2"/>
  <c r="BA298" i="2"/>
  <c r="BA9" i="2"/>
  <c r="BA61" i="2"/>
  <c r="BA109" i="2"/>
  <c r="BA62" i="2"/>
  <c r="BA263" i="2"/>
  <c r="BA68" i="2"/>
  <c r="BA108" i="2"/>
  <c r="BA67" i="2"/>
  <c r="BA150" i="2"/>
  <c r="BA208" i="2"/>
  <c r="BA231" i="2"/>
  <c r="BA239" i="2"/>
  <c r="BA151" i="2"/>
  <c r="BA70" i="2"/>
  <c r="BA188" i="2"/>
  <c r="BA230" i="2"/>
  <c r="BA69" i="2"/>
  <c r="BA291" i="2"/>
  <c r="BA152" i="2"/>
  <c r="BA50" i="2"/>
  <c r="BA161" i="2"/>
  <c r="BA162" i="2"/>
  <c r="BA164" i="2"/>
  <c r="BA269" i="2"/>
  <c r="BA235" i="2"/>
  <c r="BA234" i="2"/>
  <c r="BA104" i="2"/>
  <c r="BA233" i="2"/>
  <c r="BA172" i="2"/>
  <c r="BA166" i="2"/>
  <c r="BA196" i="2"/>
  <c r="BA176" i="2"/>
  <c r="BA197" i="2"/>
  <c r="BA193" i="2"/>
  <c r="BA238" i="2"/>
  <c r="BA198" i="2"/>
  <c r="BA199" i="2"/>
  <c r="BA250" i="2"/>
  <c r="BA183" i="2"/>
  <c r="BA177" i="2"/>
  <c r="BA249" i="2"/>
  <c r="BA248" i="2"/>
  <c r="BA194" i="2"/>
  <c r="BA33" i="2"/>
  <c r="BA32" i="2"/>
  <c r="BA30" i="2"/>
  <c r="BA31" i="2"/>
  <c r="BA268" i="2"/>
  <c r="BA267" i="2"/>
  <c r="BA99" i="2"/>
  <c r="BA91" i="2"/>
  <c r="BA101" i="2"/>
  <c r="BA206" i="2"/>
  <c r="BA92" i="2"/>
  <c r="BA44" i="2"/>
  <c r="BA29" i="2"/>
  <c r="BA42" i="2"/>
  <c r="BA43" i="2"/>
  <c r="BA47" i="2"/>
  <c r="BA227" i="2"/>
  <c r="BA185" i="2"/>
  <c r="BA143" i="2"/>
  <c r="BA41" i="2"/>
  <c r="BA40" i="2"/>
  <c r="BA302" i="2"/>
  <c r="BA186" i="2"/>
  <c r="BA187" i="2"/>
  <c r="BA102" i="2"/>
  <c r="BA303" i="2"/>
  <c r="BA200" i="2"/>
  <c r="BA100" i="2"/>
  <c r="BA301" i="2"/>
  <c r="BA290" i="2"/>
  <c r="BA202" i="2"/>
  <c r="BA287" i="2"/>
  <c r="BA207" i="2"/>
  <c r="BA203" i="2"/>
  <c r="BA195" i="2"/>
  <c r="BA276" i="2"/>
  <c r="BA277" i="2"/>
  <c r="BA72" i="2"/>
  <c r="BA220" i="2"/>
  <c r="BA286" i="2"/>
  <c r="BA221" i="2"/>
  <c r="BA244" i="2"/>
  <c r="BA205" i="2"/>
  <c r="BA300" i="2"/>
  <c r="BA281" i="2"/>
  <c r="BA243" i="2"/>
  <c r="BA107" i="2"/>
  <c r="BA214" i="2"/>
  <c r="BA117" i="2"/>
  <c r="BA258" i="2"/>
  <c r="BA228" i="2"/>
  <c r="BA251" i="2"/>
  <c r="BA114" i="2"/>
  <c r="BA113" i="2"/>
  <c r="BA116" i="2"/>
  <c r="BA83" i="2"/>
  <c r="BA35" i="2"/>
  <c r="BA36" i="2"/>
  <c r="BA89" i="2"/>
  <c r="BA84" i="2"/>
  <c r="BA266" i="2"/>
  <c r="BA94" i="2"/>
  <c r="BA34" i="2"/>
  <c r="BA93" i="2"/>
  <c r="BA284" i="2"/>
  <c r="BA285" i="2"/>
  <c r="BA49" i="2"/>
  <c r="BA275" i="2"/>
  <c r="BA283" i="2"/>
  <c r="BA274" i="2"/>
  <c r="BA273" i="2"/>
  <c r="BA282" i="2"/>
  <c r="BA16" i="2"/>
  <c r="BA18" i="2"/>
  <c r="BA19" i="2"/>
  <c r="BA37" i="2"/>
  <c r="BA38" i="2"/>
  <c r="BA39" i="2"/>
  <c r="BA17" i="2"/>
  <c r="BA15" i="2"/>
  <c r="BA48" i="2"/>
  <c r="BA76" i="2"/>
  <c r="BA75" i="2"/>
  <c r="BA86" i="2"/>
  <c r="BA85" i="2"/>
  <c r="BA90" i="2"/>
  <c r="BA259" i="2"/>
  <c r="BA241" i="2"/>
  <c r="BA73" i="2"/>
  <c r="BA74" i="2"/>
  <c r="BA119" i="2"/>
  <c r="BA82" i="2"/>
  <c r="BA56" i="2"/>
  <c r="BA57" i="2"/>
  <c r="BA58" i="2"/>
  <c r="BA88" i="2"/>
  <c r="BA96" i="2"/>
  <c r="BA87" i="2"/>
  <c r="BA97" i="2"/>
  <c r="BA246" i="2"/>
  <c r="BA247" i="2"/>
  <c r="BA245" i="2"/>
  <c r="BA226" i="2"/>
  <c r="BA217" i="2"/>
  <c r="BA215" i="2"/>
  <c r="BA142" i="2"/>
  <c r="BA71" i="2"/>
  <c r="BA218" i="2"/>
  <c r="BA180" i="2"/>
  <c r="BA175" i="2"/>
  <c r="BA105" i="2"/>
  <c r="BA154" i="2"/>
  <c r="BA155" i="2"/>
  <c r="BA156" i="2"/>
  <c r="BA128" i="2"/>
  <c r="BA213" i="2"/>
  <c r="BA138" i="2"/>
  <c r="BA139" i="2"/>
  <c r="BA174" i="2"/>
  <c r="BA135" i="2"/>
  <c r="BA129" i="2"/>
  <c r="BA201" i="2"/>
  <c r="BA212" i="2"/>
  <c r="BA140" i="2"/>
  <c r="BA159" i="2"/>
  <c r="BA141" i="2"/>
  <c r="BA181" i="2"/>
  <c r="BA178" i="2"/>
  <c r="BA182" i="2"/>
  <c r="BA98" i="2"/>
  <c r="BA148" i="2"/>
  <c r="BA136" i="2"/>
  <c r="BA149" i="2"/>
  <c r="BA168" i="2"/>
  <c r="BA106" i="2"/>
  <c r="BA5" i="2"/>
  <c r="BA137" i="2"/>
  <c r="BA157" i="2"/>
  <c r="BA7" i="2"/>
  <c r="BA158" i="2"/>
  <c r="BA6" i="2"/>
  <c r="BA59" i="2"/>
  <c r="BA103" i="2"/>
  <c r="BA160" i="2"/>
  <c r="BA132" i="2"/>
  <c r="BA131" i="2"/>
  <c r="BA153" i="2"/>
  <c r="BA134" i="2"/>
  <c r="BA179" i="2"/>
  <c r="BA133" i="2"/>
  <c r="BA126" i="2"/>
  <c r="BA127" i="2"/>
  <c r="BA167" i="2"/>
  <c r="BA192" i="2"/>
  <c r="BA229" i="2"/>
  <c r="BA292" i="2"/>
  <c r="BA165" i="2"/>
  <c r="BA112" i="2"/>
  <c r="BA262" i="2"/>
  <c r="BA261" i="2"/>
  <c r="BA240" i="2"/>
  <c r="BA224" i="2"/>
  <c r="BA242" i="2"/>
  <c r="BA53" i="2"/>
  <c r="BA28" i="2"/>
  <c r="BA54" i="2"/>
  <c r="BA265" i="2"/>
  <c r="BA27" i="2"/>
  <c r="BA55" i="2"/>
  <c r="BA26" i="2"/>
  <c r="BA21" i="2"/>
  <c r="BA22" i="2"/>
  <c r="BA20" i="2"/>
  <c r="BA173" i="2"/>
  <c r="BA25" i="2"/>
  <c r="BA23" i="2"/>
  <c r="BA296" i="2"/>
  <c r="BA24" i="2"/>
  <c r="BA210" i="2"/>
  <c r="BA209" i="2"/>
  <c r="BA216" i="2"/>
  <c r="BA211" i="2"/>
  <c r="BA147" i="2"/>
  <c r="BA124" i="2"/>
  <c r="BA125" i="2"/>
  <c r="BA146" i="2"/>
  <c r="BA145" i="2"/>
  <c r="BA144" i="2"/>
  <c r="BA236" i="2"/>
  <c r="BA170" i="2"/>
  <c r="BA169" i="2"/>
  <c r="BA171" i="2"/>
  <c r="BA237" i="2"/>
  <c r="BA45" i="2"/>
  <c r="BA257" i="2"/>
  <c r="BA256" i="2"/>
  <c r="BA46" i="2"/>
  <c r="BA255" i="2"/>
  <c r="BA189" i="2"/>
  <c r="BA118" i="2"/>
  <c r="BA223" i="2"/>
  <c r="BA122" i="2"/>
  <c r="BA123" i="2"/>
  <c r="BA225" i="2"/>
  <c r="BA190" i="2"/>
  <c r="BA191" i="2"/>
  <c r="BA121" i="2"/>
  <c r="BA252" i="2"/>
  <c r="BA222" i="2"/>
  <c r="BA254" i="2"/>
  <c r="BA253" i="2"/>
  <c r="BA120" i="2"/>
  <c r="BA80" i="2"/>
  <c r="BB80" i="2" l="1"/>
  <c r="BB260" i="2" l="1"/>
  <c r="BB14" i="2"/>
  <c r="BB12" i="2"/>
  <c r="BB11" i="2"/>
  <c r="BB51" i="2"/>
  <c r="AK95" i="2"/>
  <c r="AK81" i="2"/>
  <c r="BB77" i="2"/>
  <c r="AK295" i="2"/>
  <c r="BB65" i="2"/>
  <c r="BB163" i="2"/>
  <c r="BB299" i="2"/>
  <c r="AK9" i="2"/>
  <c r="AK62" i="2"/>
  <c r="BB263" i="2"/>
  <c r="AK68" i="2"/>
  <c r="BB108" i="2"/>
  <c r="BB150" i="2"/>
  <c r="BB208" i="2"/>
  <c r="BB188" i="2"/>
  <c r="BB230" i="2"/>
  <c r="BB69" i="2"/>
  <c r="BB291" i="2"/>
  <c r="AK164" i="2"/>
  <c r="BB269" i="2"/>
  <c r="BB234" i="2"/>
  <c r="BB196" i="2"/>
  <c r="BB176" i="2"/>
  <c r="BB197" i="2"/>
  <c r="AK238" i="2"/>
  <c r="BB199" i="2"/>
  <c r="BB183" i="2"/>
  <c r="AK249" i="2"/>
  <c r="BB248" i="2"/>
  <c r="BB194" i="2"/>
  <c r="BB33" i="2"/>
  <c r="BB30" i="2"/>
  <c r="AK31" i="2"/>
  <c r="AK44" i="2"/>
  <c r="BB42" i="2"/>
  <c r="BB227" i="2"/>
  <c r="BB185" i="2"/>
  <c r="BB143" i="2"/>
  <c r="BB40" i="2"/>
  <c r="BB302" i="2"/>
  <c r="BB186" i="2"/>
  <c r="BB102" i="2"/>
  <c r="AK303" i="2"/>
  <c r="BB200" i="2"/>
  <c r="BB100" i="2"/>
  <c r="BB195" i="2"/>
  <c r="BB276" i="2"/>
  <c r="BB221" i="2"/>
  <c r="BB205" i="2"/>
  <c r="BB300" i="2"/>
  <c r="AK117" i="2"/>
  <c r="AK258" i="2"/>
  <c r="AK228" i="2"/>
  <c r="AK251" i="2"/>
  <c r="BB114" i="2"/>
  <c r="BB113" i="2"/>
  <c r="AK83" i="2"/>
  <c r="BB35" i="2"/>
  <c r="BB36" i="2"/>
  <c r="BB84" i="2"/>
  <c r="AK94" i="2"/>
  <c r="BB34" i="2"/>
  <c r="BB284" i="2"/>
  <c r="AK285" i="2"/>
  <c r="BB273" i="2"/>
  <c r="BB16" i="2"/>
  <c r="AK39" i="2"/>
  <c r="BB259" i="2"/>
  <c r="BB241" i="2"/>
  <c r="BB73" i="2"/>
  <c r="AK119" i="2"/>
  <c r="BB56" i="2"/>
  <c r="AK88" i="2"/>
  <c r="AK96" i="2"/>
  <c r="BB105" i="2"/>
  <c r="BB155" i="2"/>
  <c r="BB213" i="2"/>
  <c r="BB138" i="2"/>
  <c r="BB212" i="2"/>
  <c r="BB159" i="2"/>
  <c r="BB148" i="2"/>
  <c r="AK136" i="2"/>
  <c r="AK157" i="2"/>
  <c r="BB6" i="2"/>
  <c r="AK132" i="2"/>
  <c r="BB131" i="2"/>
  <c r="BB126" i="2"/>
  <c r="BB167" i="2"/>
  <c r="BB229" i="2"/>
  <c r="BB165" i="2"/>
  <c r="BB112" i="2"/>
  <c r="BB261" i="2"/>
  <c r="AK240" i="2"/>
  <c r="BB242" i="2"/>
  <c r="AK53" i="2"/>
  <c r="BB28" i="2"/>
  <c r="AK54" i="2"/>
  <c r="BB21" i="2"/>
  <c r="BB22" i="2"/>
  <c r="AK20" i="2"/>
  <c r="BB173" i="2"/>
  <c r="AK25" i="2"/>
  <c r="AK23" i="2"/>
  <c r="AK296" i="2"/>
  <c r="AK24" i="2"/>
  <c r="BB210" i="2"/>
  <c r="BB124" i="2"/>
  <c r="BB125" i="2"/>
  <c r="BB146" i="2"/>
  <c r="BB145" i="2"/>
  <c r="BB144" i="2"/>
  <c r="BB236" i="2"/>
  <c r="BB170" i="2"/>
  <c r="BB169" i="2"/>
  <c r="BB171" i="2"/>
  <c r="BB237" i="2"/>
  <c r="BB257" i="2"/>
  <c r="BB256" i="2"/>
  <c r="BB46" i="2"/>
  <c r="BB255" i="2"/>
  <c r="BB189" i="2"/>
  <c r="BB223" i="2"/>
  <c r="BB190" i="2"/>
  <c r="BB121" i="2"/>
  <c r="BB252" i="2"/>
  <c r="BB222" i="2"/>
  <c r="BB254" i="2"/>
  <c r="BB253" i="2"/>
  <c r="BB120" i="2"/>
  <c r="BB202" i="2" l="1"/>
  <c r="BB161" i="2"/>
  <c r="BB78" i="2"/>
  <c r="AK82" i="2"/>
  <c r="BB82" i="2"/>
  <c r="AK26" i="2"/>
  <c r="BB26" i="2"/>
  <c r="BB214" i="2"/>
  <c r="AK27" i="2"/>
  <c r="BB27" i="2"/>
  <c r="BB52" i="2"/>
  <c r="BB298" i="2"/>
  <c r="BB280" i="2"/>
  <c r="BB134" i="2"/>
  <c r="BB154" i="2"/>
  <c r="AK86" i="2"/>
  <c r="BB86" i="2"/>
  <c r="AK294" i="2"/>
  <c r="BB294" i="2"/>
  <c r="BB177" i="2"/>
  <c r="AK204" i="2"/>
  <c r="BB204" i="2"/>
  <c r="BB211" i="2"/>
  <c r="AK21" i="2"/>
  <c r="BB127" i="2"/>
  <c r="AK127" i="2"/>
  <c r="BB93" i="2"/>
  <c r="BB250" i="2"/>
  <c r="BB239" i="2"/>
  <c r="BB270" i="2"/>
  <c r="BB55" i="2"/>
  <c r="AK55" i="2"/>
  <c r="BB181" i="2"/>
  <c r="BB128" i="2"/>
  <c r="BB107" i="2"/>
  <c r="BB272" i="2"/>
  <c r="BB191" i="2"/>
  <c r="BB97" i="2"/>
  <c r="BB15" i="2"/>
  <c r="AK15" i="2"/>
  <c r="BB76" i="2"/>
  <c r="AK76" i="2"/>
  <c r="BB292" i="2"/>
  <c r="AK292" i="2"/>
  <c r="BB142" i="2"/>
  <c r="BB87" i="2"/>
  <c r="BB281" i="2"/>
  <c r="BB166" i="2"/>
  <c r="BB162" i="2"/>
  <c r="BB209" i="2"/>
  <c r="BB224" i="2"/>
  <c r="BB85" i="2"/>
  <c r="AK85" i="2"/>
  <c r="BB172" i="2"/>
  <c r="BB67" i="2"/>
  <c r="BB179" i="2"/>
  <c r="BB160" i="2"/>
  <c r="BB282" i="2"/>
  <c r="BB70" i="2"/>
  <c r="BB13" i="2"/>
  <c r="AK13" i="2"/>
  <c r="BB90" i="2"/>
  <c r="AK90" i="2"/>
  <c r="BB217" i="2"/>
  <c r="BB57" i="2"/>
  <c r="AK57" i="2"/>
  <c r="BB37" i="2"/>
  <c r="BB193" i="2"/>
  <c r="AK193" i="2"/>
  <c r="AK56" i="2"/>
  <c r="BB206" i="2"/>
  <c r="BB245" i="2"/>
  <c r="BB296" i="2"/>
  <c r="BB157" i="2"/>
  <c r="BB149" i="2"/>
  <c r="BB178" i="2"/>
  <c r="BB140" i="2"/>
  <c r="BB283" i="2"/>
  <c r="BB244" i="2"/>
  <c r="BB72" i="2"/>
  <c r="BB29" i="2"/>
  <c r="BB63" i="2"/>
  <c r="BB23" i="2"/>
  <c r="BB158" i="2"/>
  <c r="BB137" i="2"/>
  <c r="BB218" i="2"/>
  <c r="BB119" i="2"/>
  <c r="BB89" i="2"/>
  <c r="BB83" i="2"/>
  <c r="BB44" i="2"/>
  <c r="BB99" i="2"/>
  <c r="BB53" i="2"/>
  <c r="BB133" i="2"/>
  <c r="BB132" i="2"/>
  <c r="BB136" i="2"/>
  <c r="BB71" i="2"/>
  <c r="BB116" i="2"/>
  <c r="BB243" i="2"/>
  <c r="BB203" i="2"/>
  <c r="BB164" i="2"/>
  <c r="BB9" i="2"/>
  <c r="BB216" i="2"/>
  <c r="BB201" i="2"/>
  <c r="BB94" i="2"/>
  <c r="BB277" i="2"/>
  <c r="BB207" i="2"/>
  <c r="BB301" i="2"/>
  <c r="BB198" i="2"/>
  <c r="BB60" i="2"/>
  <c r="BB95" i="2"/>
  <c r="BB262" i="2"/>
  <c r="BB225" i="2"/>
  <c r="BB265" i="2"/>
  <c r="BB215" i="2"/>
  <c r="BB96" i="2"/>
  <c r="BB17" i="2"/>
  <c r="BB275" i="2"/>
  <c r="BB287" i="2"/>
  <c r="BB271" i="2"/>
  <c r="BB54" i="2"/>
  <c r="BB88" i="2"/>
  <c r="BB39" i="2"/>
  <c r="BB92" i="2"/>
  <c r="BB249" i="2"/>
  <c r="BB295" i="2"/>
  <c r="BB24" i="2"/>
  <c r="BB240" i="2"/>
  <c r="BB7" i="2"/>
  <c r="BB129" i="2"/>
  <c r="BB58" i="2"/>
  <c r="BB74" i="2"/>
  <c r="BB38" i="2"/>
  <c r="BB49" i="2"/>
  <c r="BB251" i="2"/>
  <c r="BB286" i="2"/>
  <c r="BB267" i="2"/>
  <c r="BB238" i="2"/>
  <c r="BB123" i="2"/>
  <c r="BB25" i="2"/>
  <c r="BB135" i="2"/>
  <c r="BB75" i="2"/>
  <c r="BB228" i="2"/>
  <c r="BB268" i="2"/>
  <c r="BB151" i="2"/>
  <c r="BB122" i="2"/>
  <c r="BB106" i="2"/>
  <c r="BB174" i="2"/>
  <c r="BB226" i="2"/>
  <c r="BB19" i="2"/>
  <c r="BB266" i="2"/>
  <c r="BB220" i="2"/>
  <c r="BB303" i="2"/>
  <c r="BB41" i="2"/>
  <c r="BB31" i="2"/>
  <c r="BB50" i="2"/>
  <c r="BB293" i="2"/>
  <c r="BB10" i="2"/>
  <c r="BB118" i="2"/>
  <c r="BB20" i="2"/>
  <c r="BB192" i="2"/>
  <c r="BB103" i="2"/>
  <c r="BB98" i="2"/>
  <c r="BB18" i="2"/>
  <c r="BB285" i="2"/>
  <c r="BB68" i="2"/>
  <c r="BB110" i="2"/>
  <c r="BB81" i="2"/>
  <c r="BB79" i="2"/>
  <c r="BB147" i="2"/>
  <c r="BB153" i="2"/>
  <c r="BB59" i="2"/>
  <c r="BB168" i="2"/>
  <c r="BB141" i="2"/>
  <c r="BB247" i="2"/>
  <c r="BB258" i="2"/>
  <c r="BB290" i="2"/>
  <c r="BB104" i="2"/>
  <c r="BB66" i="2"/>
  <c r="BB264" i="2"/>
  <c r="BB182" i="2"/>
  <c r="BB48" i="2"/>
  <c r="BB274" i="2"/>
  <c r="BB117" i="2"/>
  <c r="BB187" i="2"/>
  <c r="BB91" i="2"/>
  <c r="BB32" i="2"/>
  <c r="BB62" i="2"/>
  <c r="BB297" i="2"/>
  <c r="BB64" i="2"/>
  <c r="BB101" i="2"/>
  <c r="AN204" i="2"/>
  <c r="AN80" i="2" l="1"/>
  <c r="AN235" i="2" l="1"/>
  <c r="AN25" i="2" l="1"/>
  <c r="AK12" i="2"/>
  <c r="AK176" i="2"/>
  <c r="AK143" i="2"/>
  <c r="AK126" i="2"/>
  <c r="AN260" i="2" l="1"/>
  <c r="AN14" i="2"/>
  <c r="AL25" i="2"/>
  <c r="AK131" i="2" l="1"/>
  <c r="AN104" i="2" l="1"/>
  <c r="AN120" i="2"/>
  <c r="AL104" i="2"/>
  <c r="AN79" i="2" l="1"/>
  <c r="AN110" i="2" l="1"/>
  <c r="AL110" i="2"/>
  <c r="AN249" i="2" l="1"/>
  <c r="AL249" i="2"/>
  <c r="AN47" i="2" l="1"/>
  <c r="AL47" i="2"/>
  <c r="AN82" i="2" l="1"/>
  <c r="AL82" i="2"/>
  <c r="AN177" i="2" l="1"/>
  <c r="AL177" i="2"/>
  <c r="AL260" i="2" l="1"/>
  <c r="AL14" i="2"/>
  <c r="AL12" i="2"/>
  <c r="AL11" i="2"/>
  <c r="AL79" i="2"/>
  <c r="AL51" i="2"/>
  <c r="AL204" i="2"/>
  <c r="AL65" i="2"/>
  <c r="AL163" i="2"/>
  <c r="AL63" i="2"/>
  <c r="AL299" i="2"/>
  <c r="AL61" i="2"/>
  <c r="AL263" i="2"/>
  <c r="AL108" i="2"/>
  <c r="AL150" i="2"/>
  <c r="AL208" i="2"/>
  <c r="AL188" i="2"/>
  <c r="AL230" i="2"/>
  <c r="AL69" i="2"/>
  <c r="AL291" i="2"/>
  <c r="AL152" i="2"/>
  <c r="AL269" i="2"/>
  <c r="AL234" i="2"/>
  <c r="AL233" i="2"/>
  <c r="AL196" i="2"/>
  <c r="AL176" i="2"/>
  <c r="AL197" i="2"/>
  <c r="AL199" i="2"/>
  <c r="AL183" i="2"/>
  <c r="AL248" i="2"/>
  <c r="AL33" i="2"/>
  <c r="AL30" i="2"/>
  <c r="AL42" i="2"/>
  <c r="AL43" i="2"/>
  <c r="AL227" i="2"/>
  <c r="AL185" i="2"/>
  <c r="AL143" i="2"/>
  <c r="AL40" i="2"/>
  <c r="AL302" i="2"/>
  <c r="AL186" i="2"/>
  <c r="AL102" i="2"/>
  <c r="AL200" i="2"/>
  <c r="AL100" i="2"/>
  <c r="AL195" i="2"/>
  <c r="AL276" i="2"/>
  <c r="AL221" i="2"/>
  <c r="AL205" i="2"/>
  <c r="AL300" i="2"/>
  <c r="AL114" i="2"/>
  <c r="AL113" i="2"/>
  <c r="AL35" i="2"/>
  <c r="AL36" i="2"/>
  <c r="AL84" i="2"/>
  <c r="AL34" i="2"/>
  <c r="AL284" i="2"/>
  <c r="AL273" i="2"/>
  <c r="AL16" i="2"/>
  <c r="AL259" i="2"/>
  <c r="AL241" i="2"/>
  <c r="AL73" i="2"/>
  <c r="AL105" i="2"/>
  <c r="AL155" i="2"/>
  <c r="AL156" i="2"/>
  <c r="AL138" i="2"/>
  <c r="AL212" i="2"/>
  <c r="AL159" i="2"/>
  <c r="AL148" i="2"/>
  <c r="AL6" i="2"/>
  <c r="AL131" i="2"/>
  <c r="AL126" i="2"/>
  <c r="AL167" i="2"/>
  <c r="AL165" i="2"/>
  <c r="AL112" i="2"/>
  <c r="AL261" i="2"/>
  <c r="AL242" i="2"/>
  <c r="AL28" i="2"/>
  <c r="AL22" i="2"/>
  <c r="AL173" i="2"/>
  <c r="AL210" i="2"/>
  <c r="AL124" i="2"/>
  <c r="AL125" i="2"/>
  <c r="AL146" i="2"/>
  <c r="AL145" i="2"/>
  <c r="AL144" i="2"/>
  <c r="AL236" i="2"/>
  <c r="AL170" i="2"/>
  <c r="AL169" i="2"/>
  <c r="AL171" i="2"/>
  <c r="AL237" i="2"/>
  <c r="AL45" i="2"/>
  <c r="AL257" i="2"/>
  <c r="AL256" i="2"/>
  <c r="AL46" i="2"/>
  <c r="AL255" i="2"/>
  <c r="AL189" i="2"/>
  <c r="AL223" i="2"/>
  <c r="AL190" i="2"/>
  <c r="AL121" i="2"/>
  <c r="AL252" i="2"/>
  <c r="AL222" i="2"/>
  <c r="AL254" i="2"/>
  <c r="AL253" i="2"/>
  <c r="AL120" i="2"/>
  <c r="AN191" i="2" l="1"/>
  <c r="AN189" i="2"/>
  <c r="AN23" i="2"/>
  <c r="AN242" i="2"/>
  <c r="AN134" i="2"/>
  <c r="AN182" i="2"/>
  <c r="AN159" i="2"/>
  <c r="AN213" i="2"/>
  <c r="AN246" i="2"/>
  <c r="AN119" i="2"/>
  <c r="AN15" i="2"/>
  <c r="AN228" i="2"/>
  <c r="AN290" i="2"/>
  <c r="AN102" i="2"/>
  <c r="AN185" i="2"/>
  <c r="AN91" i="2"/>
  <c r="AN198" i="2"/>
  <c r="AN166" i="2"/>
  <c r="AN70" i="2"/>
  <c r="AN108" i="2"/>
  <c r="AN66" i="2"/>
  <c r="AN236" i="2"/>
  <c r="AN265" i="2"/>
  <c r="AN168" i="2"/>
  <c r="AN178" i="2"/>
  <c r="AN140" i="2"/>
  <c r="AN73" i="2"/>
  <c r="AN275" i="2"/>
  <c r="AN220" i="2"/>
  <c r="AN187" i="2"/>
  <c r="AN227" i="2"/>
  <c r="AN29" i="2"/>
  <c r="AN172" i="2"/>
  <c r="AN151" i="2"/>
  <c r="AN64" i="2"/>
  <c r="AN272" i="2"/>
  <c r="AN95" i="2"/>
  <c r="AN252" i="2"/>
  <c r="AN190" i="2"/>
  <c r="AN255" i="2"/>
  <c r="AN144" i="2"/>
  <c r="AN216" i="2"/>
  <c r="AN224" i="2"/>
  <c r="AN229" i="2"/>
  <c r="AN103" i="2"/>
  <c r="AN149" i="2"/>
  <c r="AN181" i="2"/>
  <c r="AN212" i="2"/>
  <c r="AN128" i="2"/>
  <c r="AN218" i="2"/>
  <c r="AN97" i="2"/>
  <c r="AN90" i="2"/>
  <c r="AN17" i="2"/>
  <c r="AN35" i="2"/>
  <c r="AN186" i="2"/>
  <c r="AN44" i="2"/>
  <c r="AN99" i="2"/>
  <c r="AN33" i="2"/>
  <c r="AN161" i="2"/>
  <c r="AN68" i="2"/>
  <c r="AN63" i="2"/>
  <c r="AN145" i="2"/>
  <c r="AN209" i="2"/>
  <c r="AN240" i="2"/>
  <c r="AN192" i="2"/>
  <c r="AN59" i="2"/>
  <c r="AN156" i="2"/>
  <c r="AN71" i="2"/>
  <c r="AN87" i="2"/>
  <c r="AN85" i="2"/>
  <c r="AN39" i="2"/>
  <c r="AN49" i="2"/>
  <c r="AN258" i="2"/>
  <c r="AN194" i="2"/>
  <c r="AN238" i="2"/>
  <c r="AN50" i="2"/>
  <c r="AN263" i="2"/>
  <c r="AN297" i="2"/>
  <c r="AN111" i="2"/>
  <c r="AN271" i="2"/>
  <c r="AN146" i="2"/>
  <c r="AN210" i="2"/>
  <c r="AN261" i="2"/>
  <c r="AN167" i="2"/>
  <c r="AN153" i="2"/>
  <c r="AN6" i="2"/>
  <c r="AN136" i="2"/>
  <c r="AN201" i="2"/>
  <c r="AN155" i="2"/>
  <c r="AN142" i="2"/>
  <c r="AN96" i="2"/>
  <c r="AN241" i="2"/>
  <c r="AN86" i="2"/>
  <c r="AN38" i="2"/>
  <c r="AN282" i="2"/>
  <c r="AN266" i="2"/>
  <c r="AN117" i="2"/>
  <c r="AN193" i="2"/>
  <c r="AN152" i="2"/>
  <c r="AN239" i="2"/>
  <c r="AN62" i="2"/>
  <c r="AN163" i="2"/>
  <c r="AN13" i="2"/>
  <c r="AN253" i="2"/>
  <c r="AN256" i="2"/>
  <c r="AN125" i="2"/>
  <c r="AN24" i="2"/>
  <c r="AN173" i="2"/>
  <c r="AN127" i="2"/>
  <c r="AN157" i="2"/>
  <c r="AN215" i="2"/>
  <c r="AN88" i="2"/>
  <c r="AN74" i="2"/>
  <c r="AN75" i="2"/>
  <c r="AN37" i="2"/>
  <c r="AN285" i="2"/>
  <c r="AN214" i="2"/>
  <c r="AN244" i="2"/>
  <c r="AN72" i="2"/>
  <c r="AN203" i="2"/>
  <c r="AN301" i="2"/>
  <c r="AN233" i="2"/>
  <c r="AN291" i="2"/>
  <c r="AN231" i="2"/>
  <c r="AN109" i="2"/>
  <c r="AN65" i="2"/>
  <c r="AN10" i="2"/>
  <c r="AN11" i="2"/>
  <c r="AN225" i="2"/>
  <c r="AN254" i="2"/>
  <c r="AN123" i="2"/>
  <c r="AN257" i="2"/>
  <c r="AN20" i="2"/>
  <c r="AN126" i="2"/>
  <c r="AN131" i="2"/>
  <c r="AN158" i="2"/>
  <c r="AN137" i="2"/>
  <c r="AN58" i="2"/>
  <c r="AN19" i="2"/>
  <c r="AN284" i="2"/>
  <c r="AN84" i="2"/>
  <c r="AN83" i="2"/>
  <c r="AN107" i="2"/>
  <c r="AN207" i="2"/>
  <c r="AN302" i="2"/>
  <c r="AN92" i="2"/>
  <c r="AN234" i="2"/>
  <c r="AN69" i="2"/>
  <c r="AN208" i="2"/>
  <c r="AN61" i="2"/>
  <c r="AN60" i="2"/>
  <c r="AN122" i="2"/>
  <c r="AN45" i="2"/>
  <c r="AN22" i="2"/>
  <c r="AN132" i="2"/>
  <c r="AN129" i="2"/>
  <c r="AN154" i="2"/>
  <c r="AN57" i="2"/>
  <c r="AN18" i="2"/>
  <c r="AN273" i="2"/>
  <c r="AN116" i="2"/>
  <c r="AN243" i="2"/>
  <c r="AN287" i="2"/>
  <c r="AN100" i="2"/>
  <c r="AN40" i="2"/>
  <c r="AN9" i="2"/>
  <c r="AN295" i="2"/>
  <c r="AN293" i="2"/>
  <c r="AN12" i="2"/>
  <c r="AN223" i="2"/>
  <c r="AN237" i="2"/>
  <c r="AN21" i="2"/>
  <c r="AN54" i="2"/>
  <c r="AN262" i="2"/>
  <c r="AN133" i="2"/>
  <c r="AN5" i="2"/>
  <c r="AN148" i="2"/>
  <c r="AN135" i="2"/>
  <c r="AN217" i="2"/>
  <c r="AN56" i="2"/>
  <c r="AN76" i="2"/>
  <c r="AN274" i="2"/>
  <c r="AN93" i="2"/>
  <c r="AN281" i="2"/>
  <c r="AN221" i="2"/>
  <c r="AN277" i="2"/>
  <c r="AN200" i="2"/>
  <c r="AN43" i="2"/>
  <c r="AN197" i="2"/>
  <c r="AN269" i="2"/>
  <c r="AN230" i="2"/>
  <c r="AN150" i="2"/>
  <c r="AN298" i="2"/>
  <c r="AN294" i="2"/>
  <c r="AN270" i="2"/>
  <c r="AN222" i="2"/>
  <c r="AN171" i="2"/>
  <c r="AN147" i="2"/>
  <c r="AN26" i="2"/>
  <c r="AN28" i="2"/>
  <c r="AN112" i="2"/>
  <c r="AN174" i="2"/>
  <c r="AN226" i="2"/>
  <c r="AN48" i="2"/>
  <c r="AN16" i="2"/>
  <c r="AN283" i="2"/>
  <c r="AN34" i="2"/>
  <c r="AN89" i="2"/>
  <c r="AN113" i="2"/>
  <c r="AN300" i="2"/>
  <c r="AN276" i="2"/>
  <c r="AN202" i="2"/>
  <c r="AN42" i="2"/>
  <c r="AN206" i="2"/>
  <c r="AN31" i="2"/>
  <c r="AN250" i="2"/>
  <c r="AN176" i="2"/>
  <c r="AN164" i="2"/>
  <c r="AN77" i="2"/>
  <c r="AN264" i="2"/>
  <c r="AN118" i="2"/>
  <c r="AN169" i="2"/>
  <c r="AN211" i="2"/>
  <c r="AN55" i="2"/>
  <c r="AN165" i="2"/>
  <c r="AN179" i="2"/>
  <c r="AN98" i="2"/>
  <c r="AN139" i="2"/>
  <c r="AN175" i="2"/>
  <c r="AN245" i="2"/>
  <c r="AN36" i="2"/>
  <c r="AN114" i="2"/>
  <c r="AN205" i="2"/>
  <c r="AN303" i="2"/>
  <c r="AN41" i="2"/>
  <c r="AN30" i="2"/>
  <c r="AN162" i="2"/>
  <c r="AN67" i="2"/>
  <c r="AN280" i="2"/>
  <c r="AN81" i="2"/>
  <c r="AN51" i="2"/>
  <c r="AN121" i="2"/>
  <c r="AN170" i="2"/>
  <c r="AN296" i="2"/>
  <c r="AN27" i="2"/>
  <c r="AN53" i="2"/>
  <c r="AN292" i="2"/>
  <c r="AN160" i="2"/>
  <c r="AN7" i="2"/>
  <c r="AN106" i="2"/>
  <c r="AN141" i="2"/>
  <c r="AN138" i="2"/>
  <c r="AN180" i="2"/>
  <c r="AN247" i="2"/>
  <c r="AN94" i="2"/>
  <c r="AN251" i="2"/>
  <c r="AN286" i="2"/>
  <c r="AN143" i="2"/>
  <c r="AN101" i="2"/>
  <c r="AN32" i="2"/>
  <c r="AN199" i="2"/>
  <c r="AN196" i="2"/>
  <c r="AN188" i="2"/>
  <c r="AN299" i="2"/>
  <c r="AN78" i="2"/>
  <c r="AN52" i="2"/>
  <c r="AL71" i="2"/>
  <c r="AL225" i="2"/>
  <c r="AL209" i="2"/>
  <c r="AL224" i="2"/>
  <c r="AL229" i="2"/>
  <c r="AL103" i="2"/>
  <c r="AL149" i="2"/>
  <c r="AL181" i="2"/>
  <c r="AL128" i="2"/>
  <c r="AL218" i="2"/>
  <c r="AL97" i="2"/>
  <c r="AL90" i="2"/>
  <c r="AL17" i="2"/>
  <c r="AL187" i="2"/>
  <c r="AL29" i="2"/>
  <c r="AL172" i="2"/>
  <c r="AL70" i="2"/>
  <c r="AL66" i="2"/>
  <c r="AL240" i="2"/>
  <c r="AL49" i="2"/>
  <c r="AL153" i="2"/>
  <c r="AL136" i="2"/>
  <c r="AL201" i="2"/>
  <c r="AL142" i="2"/>
  <c r="AL96" i="2"/>
  <c r="AL86" i="2"/>
  <c r="AL38" i="2"/>
  <c r="AL282" i="2"/>
  <c r="AL266" i="2"/>
  <c r="AL117" i="2"/>
  <c r="AL194" i="2"/>
  <c r="AL238" i="2"/>
  <c r="AL161" i="2"/>
  <c r="AL68" i="2"/>
  <c r="AL44" i="2"/>
  <c r="AL123" i="2"/>
  <c r="AL127" i="2"/>
  <c r="AL157" i="2"/>
  <c r="AL215" i="2"/>
  <c r="AL88" i="2"/>
  <c r="AL74" i="2"/>
  <c r="AL75" i="2"/>
  <c r="AL37" i="2"/>
  <c r="AL285" i="2"/>
  <c r="AL214" i="2"/>
  <c r="AL244" i="2"/>
  <c r="AL72" i="2"/>
  <c r="AL193" i="2"/>
  <c r="AL50" i="2"/>
  <c r="AL297" i="2"/>
  <c r="AL111" i="2"/>
  <c r="AL271" i="2"/>
  <c r="AL39" i="2"/>
  <c r="AL99" i="2"/>
  <c r="AL122" i="2"/>
  <c r="AL20" i="2"/>
  <c r="AL158" i="2"/>
  <c r="AL137" i="2"/>
  <c r="AL58" i="2"/>
  <c r="AL19" i="2"/>
  <c r="AL83" i="2"/>
  <c r="AL107" i="2"/>
  <c r="AL203" i="2"/>
  <c r="AL301" i="2"/>
  <c r="AL239" i="2"/>
  <c r="AL62" i="2"/>
  <c r="AL13" i="2"/>
  <c r="AL272" i="2"/>
  <c r="AL132" i="2"/>
  <c r="AL129" i="2"/>
  <c r="AL154" i="2"/>
  <c r="AL57" i="2"/>
  <c r="AL18" i="2"/>
  <c r="AL116" i="2"/>
  <c r="AL243" i="2"/>
  <c r="AL207" i="2"/>
  <c r="AL92" i="2"/>
  <c r="AL231" i="2"/>
  <c r="AL109" i="2"/>
  <c r="AL10" i="2"/>
  <c r="AL151" i="2"/>
  <c r="AL24" i="2"/>
  <c r="AL147" i="2"/>
  <c r="AL21" i="2"/>
  <c r="AL54" i="2"/>
  <c r="AL262" i="2"/>
  <c r="AL133" i="2"/>
  <c r="AL5" i="2"/>
  <c r="AL135" i="2"/>
  <c r="AL217" i="2"/>
  <c r="AL56" i="2"/>
  <c r="AL76" i="2"/>
  <c r="AL274" i="2"/>
  <c r="AL93" i="2"/>
  <c r="AL281" i="2"/>
  <c r="AL277" i="2"/>
  <c r="AL287" i="2"/>
  <c r="AL267" i="2"/>
  <c r="AL235" i="2"/>
  <c r="AL60" i="2"/>
  <c r="AL59" i="2"/>
  <c r="AL258" i="2"/>
  <c r="AL118" i="2"/>
  <c r="AL211" i="2"/>
  <c r="AL26" i="2"/>
  <c r="AL174" i="2"/>
  <c r="AL226" i="2"/>
  <c r="AL48" i="2"/>
  <c r="AL283" i="2"/>
  <c r="AL89" i="2"/>
  <c r="AL268" i="2"/>
  <c r="AL9" i="2"/>
  <c r="AL295" i="2"/>
  <c r="AL293" i="2"/>
  <c r="AL192" i="2"/>
  <c r="AL87" i="2"/>
  <c r="AL64" i="2"/>
  <c r="AL296" i="2"/>
  <c r="AL55" i="2"/>
  <c r="AL179" i="2"/>
  <c r="AL98" i="2"/>
  <c r="AL139" i="2"/>
  <c r="AL175" i="2"/>
  <c r="AL245" i="2"/>
  <c r="AL202" i="2"/>
  <c r="AL206" i="2"/>
  <c r="AL31" i="2"/>
  <c r="AL250" i="2"/>
  <c r="AL298" i="2"/>
  <c r="AL294" i="2"/>
  <c r="AL270" i="2"/>
  <c r="AL95" i="2"/>
  <c r="AL191" i="2"/>
  <c r="AL23" i="2"/>
  <c r="AL27" i="2"/>
  <c r="AL53" i="2"/>
  <c r="AL292" i="2"/>
  <c r="AL160" i="2"/>
  <c r="AL7" i="2"/>
  <c r="AL106" i="2"/>
  <c r="AL141" i="2"/>
  <c r="AL180" i="2"/>
  <c r="AL247" i="2"/>
  <c r="AL94" i="2"/>
  <c r="AL251" i="2"/>
  <c r="AL286" i="2"/>
  <c r="AL303" i="2"/>
  <c r="AL41" i="2"/>
  <c r="AL164" i="2"/>
  <c r="AL77" i="2"/>
  <c r="AL264" i="2"/>
  <c r="AL85" i="2"/>
  <c r="AL134" i="2"/>
  <c r="AL182" i="2"/>
  <c r="AL213" i="2"/>
  <c r="AL246" i="2"/>
  <c r="AL119" i="2"/>
  <c r="AL15" i="2"/>
  <c r="AL228" i="2"/>
  <c r="AL101" i="2"/>
  <c r="AL32" i="2"/>
  <c r="AL162" i="2"/>
  <c r="AL67" i="2"/>
  <c r="AL280" i="2"/>
  <c r="AL81" i="2"/>
  <c r="AL52" i="2"/>
  <c r="AL216" i="2"/>
  <c r="AL265" i="2"/>
  <c r="AL168" i="2"/>
  <c r="AL178" i="2"/>
  <c r="AL140" i="2"/>
  <c r="AL275" i="2"/>
  <c r="AL220" i="2"/>
  <c r="AL290" i="2"/>
  <c r="AL91" i="2"/>
  <c r="AL198" i="2"/>
  <c r="AL166" i="2"/>
  <c r="AL78" i="2"/>
  <c r="AL80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F1" authorId="0" shapeId="0" xr:uid="{00000000-0006-0000-0000-000001000000}">
      <text>
        <r>
          <rPr>
            <sz val="10"/>
            <color indexed="8"/>
            <rFont val="Tahoma"/>
            <family val="2"/>
          </rPr>
          <t>Если несколько - указываются через запятую</t>
        </r>
      </text>
    </comment>
    <comment ref="AG1" authorId="0" shapeId="0" xr:uid="{00000000-0006-0000-0000-000002000000}">
      <text>
        <r>
          <rPr>
            <sz val="10"/>
            <color indexed="8"/>
            <rFont val="Tahoma"/>
            <family val="2"/>
            <charset val="1"/>
          </rPr>
          <t>Если несколько - указываются через запятую</t>
        </r>
      </text>
    </comment>
    <comment ref="AN2" authorId="0" shapeId="0" xr:uid="{00000000-0006-0000-0000-000003000000}">
      <text>
        <r>
          <rPr>
            <sz val="10"/>
            <color rgb="FF000000"/>
            <rFont val="Tahoma"/>
            <family val="2"/>
            <charset val="204"/>
          </rPr>
          <t>Если оставить поле пустым, будет использоваться значение по умолчанию 1000000</t>
        </r>
      </text>
    </comment>
    <comment ref="BB29" authorId="0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45" authorId="0" shapeId="0" xr:uid="{00000000-0006-0000-0000-000005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46" authorId="0" shapeId="0" xr:uid="{00000000-0006-0000-0000-000006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04" authorId="0" shapeId="0" xr:uid="{00000000-0006-0000-0000-000007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05" authorId="0" shapeId="0" xr:uid="{00000000-0006-0000-0000-000008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17" authorId="0" shapeId="0" xr:uid="{00000000-0006-0000-0000-000009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18" authorId="0" shapeId="0" xr:uid="{00000000-0006-0000-0000-00000A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20" authorId="0" shapeId="0" xr:uid="{00000000-0006-0000-0000-00000B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21" authorId="0" shapeId="0" xr:uid="{00000000-0006-0000-0000-00000C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22" authorId="0" shapeId="0" xr:uid="{00000000-0006-0000-0000-00000D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23" authorId="0" shapeId="0" xr:uid="{00000000-0006-0000-0000-00000E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24" authorId="0" shapeId="0" xr:uid="{00000000-0006-0000-0000-00000F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25" authorId="0" shapeId="0" xr:uid="{00000000-0006-0000-0000-000010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44" authorId="0" shapeId="0" xr:uid="{00000000-0006-0000-0000-000011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45" authorId="0" shapeId="0" xr:uid="{00000000-0006-0000-0000-000012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46" authorId="0" shapeId="0" xr:uid="{00000000-0006-0000-0000-000013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47" authorId="0" shapeId="0" xr:uid="{00000000-0006-0000-0000-000014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66" authorId="0" shapeId="0" xr:uid="{00000000-0006-0000-0000-000015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69" authorId="0" shapeId="0" xr:uid="{00000000-0006-0000-0000-000016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70" authorId="0" shapeId="0" xr:uid="{00000000-0006-0000-0000-000017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71" authorId="0" shapeId="0" xr:uid="{00000000-0006-0000-0000-000018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72" authorId="0" shapeId="0" xr:uid="{00000000-0006-0000-0000-000019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75" authorId="0" shapeId="0" xr:uid="{00000000-0006-0000-0000-00001A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76" authorId="0" shapeId="0" xr:uid="{00000000-0006-0000-0000-00001B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83" authorId="0" shapeId="0" xr:uid="{00000000-0006-0000-0000-00001C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89" authorId="0" shapeId="0" xr:uid="{00000000-0006-0000-0000-00001D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0" authorId="0" shapeId="0" xr:uid="{00000000-0006-0000-0000-00001E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1" authorId="0" shapeId="0" xr:uid="{00000000-0006-0000-0000-00001F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3" authorId="0" shapeId="0" xr:uid="{00000000-0006-0000-0000-000020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6" authorId="0" shapeId="0" xr:uid="{00000000-0006-0000-0000-000021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7" authorId="0" shapeId="0" xr:uid="{00000000-0006-0000-0000-000022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8" authorId="0" shapeId="0" xr:uid="{00000000-0006-0000-0000-000023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199" authorId="0" shapeId="0" xr:uid="{00000000-0006-0000-0000-000024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09" authorId="0" shapeId="0" xr:uid="{00000000-0006-0000-0000-000025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10" authorId="0" shapeId="0" xr:uid="{00000000-0006-0000-0000-000026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11" authorId="0" shapeId="0" xr:uid="{00000000-0006-0000-0000-000027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16" authorId="0" shapeId="0" xr:uid="{00000000-0006-0000-0000-000028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22" authorId="0" shapeId="0" xr:uid="{00000000-0006-0000-0000-000029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23" authorId="0" shapeId="0" xr:uid="{00000000-0006-0000-0000-00002A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24" authorId="0" shapeId="0" xr:uid="{00000000-0006-0000-0000-00002B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25" authorId="0" shapeId="0" xr:uid="{00000000-0006-0000-0000-00002C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28" authorId="0" shapeId="0" xr:uid="{00000000-0006-0000-0000-00002D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33" authorId="0" shapeId="0" xr:uid="{00000000-0006-0000-0000-00002E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34" authorId="0" shapeId="0" xr:uid="{00000000-0006-0000-0000-00002F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35" authorId="0" shapeId="0" xr:uid="{00000000-0006-0000-0000-000030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36" authorId="0" shapeId="0" xr:uid="{00000000-0006-0000-0000-000031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37" authorId="0" shapeId="0" xr:uid="{00000000-0006-0000-0000-000032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38" authorId="0" shapeId="0" xr:uid="{00000000-0006-0000-0000-000033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40" authorId="0" shapeId="0" xr:uid="{00000000-0006-0000-0000-000034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0" authorId="0" shapeId="0" xr:uid="{00000000-0006-0000-0000-000035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2" authorId="0" shapeId="0" xr:uid="{00000000-0006-0000-0000-000036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3" authorId="0" shapeId="0" xr:uid="{00000000-0006-0000-0000-000037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4" authorId="0" shapeId="0" xr:uid="{00000000-0006-0000-0000-000038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5" authorId="0" shapeId="0" xr:uid="{00000000-0006-0000-0000-000039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6" authorId="0" shapeId="0" xr:uid="{00000000-0006-0000-0000-00003A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7" authorId="0" shapeId="0" xr:uid="{00000000-0006-0000-0000-00003B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58" authorId="0" shapeId="0" xr:uid="{00000000-0006-0000-0000-00003C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61" authorId="0" shapeId="0" xr:uid="{00000000-0006-0000-0000-00003D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  <comment ref="BB262" authorId="0" shapeId="0" xr:uid="{00000000-0006-0000-0000-00003E000000}">
      <text>
        <r>
          <rPr>
            <sz val="9"/>
            <color indexed="81"/>
            <rFont val="Tahoma"/>
            <family val="2"/>
            <charset val="204"/>
          </rPr>
          <t xml:space="preserve">ЦЕНТР
</t>
        </r>
      </text>
    </comment>
  </commentList>
</comments>
</file>

<file path=xl/sharedStrings.xml><?xml version="1.0" encoding="utf-8"?>
<sst xmlns="http://schemas.openxmlformats.org/spreadsheetml/2006/main" count="7816" uniqueCount="2384">
  <si>
    <t>type</t>
  </si>
  <si>
    <t>service_duration_s</t>
  </si>
  <si>
    <t>hard_window</t>
  </si>
  <si>
    <t>time_window</t>
  </si>
  <si>
    <t>point.lon</t>
  </si>
  <si>
    <t>point.lat</t>
  </si>
  <si>
    <t>ref</t>
  </si>
  <si>
    <t>id</t>
  </si>
  <si>
    <t>на заказ, сек</t>
  </si>
  <si>
    <t>на адрес, сек</t>
  </si>
  <si>
    <t>Необходимые свойства машины</t>
  </si>
  <si>
    <t>Кол-во занимаемых мест</t>
  </si>
  <si>
    <t>Вес (брутто), кг</t>
  </si>
  <si>
    <t>Жесткое временное окно, TRUE/FALSE</t>
  </si>
  <si>
    <t>Адрес получателя</t>
  </si>
  <si>
    <t>Наименование получателя</t>
  </si>
  <si>
    <t>Номер заказа</t>
  </si>
  <si>
    <t>Тип точки (pickup/delivery/garage/drop_off)</t>
  </si>
  <si>
    <t>title</t>
  </si>
  <si>
    <t>address</t>
  </si>
  <si>
    <t>shared_service_duration_s</t>
  </si>
  <si>
    <t>shipment_size.weight_kg</t>
  </si>
  <si>
    <t>shipment_size.units</t>
  </si>
  <si>
    <t>required_tags</t>
  </si>
  <si>
    <t>comments</t>
  </si>
  <si>
    <t>Опциональные теги</t>
  </si>
  <si>
    <t>optional_tags.0.tag</t>
  </si>
  <si>
    <t>optional_tags.0.value</t>
  </si>
  <si>
    <t>CTR</t>
  </si>
  <si>
    <t>Приоритет выполнения заказа</t>
  </si>
  <si>
    <t>Время загрузки заказа на складе</t>
  </si>
  <si>
    <t>Время готовности заказа на складе</t>
  </si>
  <si>
    <t>№п/п</t>
  </si>
  <si>
    <t>№ маг</t>
  </si>
  <si>
    <t>отд</t>
  </si>
  <si>
    <t xml:space="preserve"> 09+12</t>
  </si>
  <si>
    <t>грзчк</t>
  </si>
  <si>
    <t>Город</t>
  </si>
  <si>
    <t>Адрес</t>
  </si>
  <si>
    <t>sequence_order</t>
  </si>
  <si>
    <t>depot_duration_s</t>
  </si>
  <si>
    <t>depot_ready_time</t>
  </si>
  <si>
    <t>ам регион Долгопрудный-Умберто Нобиле-1  т/зал</t>
  </si>
  <si>
    <t>АМР</t>
  </si>
  <si>
    <t xml:space="preserve"> </t>
  </si>
  <si>
    <t>Долгопрудный</t>
  </si>
  <si>
    <t>б-р Умберто Нобиле, 1</t>
  </si>
  <si>
    <t>Долгопрудный, б-р Умберто Нобиле, 1</t>
  </si>
  <si>
    <t>delivery</t>
  </si>
  <si>
    <t>ВЕРНАДСКОГО-61    Т/ЗАЛ</t>
  </si>
  <si>
    <t>АМ</t>
  </si>
  <si>
    <t>Москва</t>
  </si>
  <si>
    <t>Ул. Вернадского, д.61</t>
  </si>
  <si>
    <t>Москва, Ул. Вернадского, д.61</t>
  </si>
  <si>
    <t>ЛЕНИНГРАДСКИЙ_ПР_Т-69/1 Т/ЗАЛ</t>
  </si>
  <si>
    <t>Москва, ЛЕНИНГРАДСКИЙ ПРОСП. 69,с1</t>
  </si>
  <si>
    <t>ЛАЗОРЕВЫЙ_ПР_Д-5  Т/ЗАЛ</t>
  </si>
  <si>
    <t>с утра</t>
  </si>
  <si>
    <t>Лазоревый пр-д, 5, к 4</t>
  </si>
  <si>
    <t>Москва, Лазоревый пр-д, 5, к 4</t>
  </si>
  <si>
    <t>БАРКЛАЯ-12        Т/ЗАЛ</t>
  </si>
  <si>
    <t>ул.Барклая, д.12</t>
  </si>
  <si>
    <t>Москва, ул.Барклая, д.12</t>
  </si>
  <si>
    <t>АСТРАХАНСКИЙ ПЕР. Т/ЗАЛ</t>
  </si>
  <si>
    <t>Астраханский пер., д. 1/15</t>
  </si>
  <si>
    <t>Москва, Астраханский пер., д. 1/15</t>
  </si>
  <si>
    <t>1-Я НОВОКУЗЬМИНСКАЯ-27/12 Т/ЗАЛ</t>
  </si>
  <si>
    <t>1-я Новокузьминская ул., д.27/12</t>
  </si>
  <si>
    <t>Москва, 1-я Новокузьминская ул., д.27/12</t>
  </si>
  <si>
    <t>АЗОВСКАЯ          Т/ЗАЛ</t>
  </si>
  <si>
    <t>ул.Азовская, д.24, корп. 2</t>
  </si>
  <si>
    <t>Москва, Азовская ул., д.24, кор.2</t>
  </si>
  <si>
    <t>Ленинский г.о.</t>
  </si>
  <si>
    <t>рп Боброво, ул.Лесная, д. 24</t>
  </si>
  <si>
    <t>Ленинский г.о., рп Боброво, ул.Лесная, д. 24</t>
  </si>
  <si>
    <t>СТОЛЕТОВА-17      Т/ЗАЛ</t>
  </si>
  <si>
    <t>ул.Столетова, д.17</t>
  </si>
  <si>
    <t>Москва, Столетова ул., д.17</t>
  </si>
  <si>
    <t>ЛЕНИНСКИЙ-40      Т/ЗАЛ</t>
  </si>
  <si>
    <t>Ленинский проспект, д.40</t>
  </si>
  <si>
    <t>Москва, Ленинский проспект, д.40</t>
  </si>
  <si>
    <t>ЛЕНИНСКИЙ-41/2    Т/ЗАЛ</t>
  </si>
  <si>
    <t>Москва, ЛЕНИНСКИЙ ПРОСП. 41 корп 2</t>
  </si>
  <si>
    <t>60_ЛЕТИЯ_ОКТЯБРЯ-19  Т/ЗАЛ</t>
  </si>
  <si>
    <t>ул.60 летия Октября, 19</t>
  </si>
  <si>
    <t>Москва, ул.60 летия Октября, 19</t>
  </si>
  <si>
    <t>ПРОФСОЮЗНАЯ       Т/ЗАЛ</t>
  </si>
  <si>
    <t>ул. Профсоюзная, д.18, кор.1</t>
  </si>
  <si>
    <t>Москва, ул. Профсоюзная, д.18, кор.1</t>
  </si>
  <si>
    <t>ЭЛЕКТРОЛИТНЫЙ_ПР_Д-16 Т/ЗАЛ</t>
  </si>
  <si>
    <t>Электролитный проезд, д.16, к.7</t>
  </si>
  <si>
    <t>Москва, Электролитный проезд, д.16, к.7</t>
  </si>
  <si>
    <t>НАМЕТКИНА-11 Т/ЗАЛ</t>
  </si>
  <si>
    <t>Наметкина ул.,д.11</t>
  </si>
  <si>
    <t>Москва, Наметкина ул.,д.11</t>
  </si>
  <si>
    <t>НАХИМОВСКИЙ ПР-Т  Т/ЗАЛ</t>
  </si>
  <si>
    <t>Нахимовский пр-т, д. 11, корп. 2</t>
  </si>
  <si>
    <t>Москва, Нахимовский пр-т, д. 11, корп. 2</t>
  </si>
  <si>
    <t>КОМСОМОЛЬСКИЙ_ПР-38/16     Т/ЗАЛ</t>
  </si>
  <si>
    <t>Комсомольский пр-т, 38/16</t>
  </si>
  <si>
    <t>Москва, Комсомольский пр-т, 38/16</t>
  </si>
  <si>
    <t>ЕФРЕМОВА-21       Т/ЗАЛ</t>
  </si>
  <si>
    <t>ул. Ефремова, д.21</t>
  </si>
  <si>
    <t>Москва, ул. Ефремова, д.21</t>
  </si>
  <si>
    <t>ЧАЯНОВА-12        Т/ЗАЛ</t>
  </si>
  <si>
    <t>Москва, ул.Чаянова 12</t>
  </si>
  <si>
    <t>ДЕГУНИНСКАЯ-32  Т/ЗАЛ</t>
  </si>
  <si>
    <t>Дегунинская ул. 3 к 2</t>
  </si>
  <si>
    <t>Москва, Дегунинская ул. 3 к 2</t>
  </si>
  <si>
    <t>АВИАЦИОННАЯ-77  Т/ЗАЛ</t>
  </si>
  <si>
    <t>СМОЛЬНАЯ-44       Т/ЗАЛ</t>
  </si>
  <si>
    <t>ул. Смольная 44</t>
  </si>
  <si>
    <t>Москва, ул. Смольная 44</t>
  </si>
  <si>
    <t>КРАСНОАРМЕЙСКАЯ-34А Т/ЗАЛ</t>
  </si>
  <si>
    <t>Красноармейская ул, 34А</t>
  </si>
  <si>
    <t>Москва, Красноармейская ул, 34А</t>
  </si>
  <si>
    <t>Ленинградское шоссе, д. 8/2, стр.1</t>
  </si>
  <si>
    <t>Москва, Ленинградское шоссе, д. 8/2, стр.1</t>
  </si>
  <si>
    <t>ХОРОШЕВСКОЕ Ш.     Т/ЗАЛ</t>
  </si>
  <si>
    <t>Хорошевское шоссе д. 90</t>
  </si>
  <si>
    <t>Москва, Хорошевское шоссе д. 90</t>
  </si>
  <si>
    <t>1_ХОРОШЕВСКИЙ_ПР_Д-14 Т/ЗАЛ</t>
  </si>
  <si>
    <t>Москва, ХОРОШЕВСКИЙ 1-Й ПР. 14 к.1</t>
  </si>
  <si>
    <t>г.о. Красногорск</t>
  </si>
  <si>
    <t>Красногорск_Видная-2        ам-долгопрудный</t>
  </si>
  <si>
    <t>Видная ул.,  д.2</t>
  </si>
  <si>
    <t>г.о. Красногорск, Видная ул.,  д.2</t>
  </si>
  <si>
    <t>г.о.Красногорск</t>
  </si>
  <si>
    <t>Красногорск</t>
  </si>
  <si>
    <t>б-р Космонавтов 6</t>
  </si>
  <si>
    <t>Красногорск, б-р Космонавтов 6</t>
  </si>
  <si>
    <t>Одинцовский г.о.</t>
  </si>
  <si>
    <t>ГИЛЯРОВСКОГО-60      Т/ЗАЛ</t>
  </si>
  <si>
    <t>Москва, ГИЛЯРОВСКОГО УЛ 60 к.1</t>
  </si>
  <si>
    <t>МАЛОМОСКОВСКАЯ-14 Т/ЗАЛ</t>
  </si>
  <si>
    <t>Маломосковская ул, 14</t>
  </si>
  <si>
    <t>Москва, Маломосковская ул, 14</t>
  </si>
  <si>
    <t>ЯРОСЛАВСКОЕ_Ш-22/3 Т/ЗАЛ</t>
  </si>
  <si>
    <t>Ярославское ш 22</t>
  </si>
  <si>
    <t>Москва, Ярославское ш 22</t>
  </si>
  <si>
    <t>АКАДЕМИКА КОРОЛЕВА Т/ЗАЛ</t>
  </si>
  <si>
    <t>ул.Академика Королева, д.3</t>
  </si>
  <si>
    <t>Москва, ул.Академика Королева, д.3</t>
  </si>
  <si>
    <t>ГРЕКОВА-22        Т/ЗАЛ</t>
  </si>
  <si>
    <t>Грекова ул., д.22</t>
  </si>
  <si>
    <t>Москва, Грекова ул., д.22</t>
  </si>
  <si>
    <t>Долгопрудная_Аллея-14  т/зал</t>
  </si>
  <si>
    <t>Долгопрудная аллея, 14/2</t>
  </si>
  <si>
    <t>Москва, Долгопрудная аллея, 14/2</t>
  </si>
  <si>
    <t>Химки</t>
  </si>
  <si>
    <t>ОСТРОВИТЯНОВА     Т/ЗАЛ</t>
  </si>
  <si>
    <t>Островитянова ул., д.13</t>
  </si>
  <si>
    <t>Москва, Островитянова ул., д.13</t>
  </si>
  <si>
    <t>ВЛАСОВА           Т/ЗАЛ</t>
  </si>
  <si>
    <t>ул.Архитектора Власова, д.22</t>
  </si>
  <si>
    <t>Москва, ул.Архитектора Власова, д.22</t>
  </si>
  <si>
    <t>КОРАБЕЛЬНАЯ-17      Т/ЗАЛ</t>
  </si>
  <si>
    <t>ул.Корабельная, д.17</t>
  </si>
  <si>
    <t>Москва, ул.Корабельная, д.17</t>
  </si>
  <si>
    <t>РОГОЖСКИЙ_ВАЛ-4    Т/ЗАЛ</t>
  </si>
  <si>
    <t>Рогожский Вал, д.4</t>
  </si>
  <si>
    <t>Москва, Рогожский Вал, д.4</t>
  </si>
  <si>
    <t>КРАСНОКАЗАРМЕННАЯ-23  Т/ЗАЛ</t>
  </si>
  <si>
    <t>ул.Красноказарменная, 23</t>
  </si>
  <si>
    <t>Москва, ул.Красноказарменная, 23</t>
  </si>
  <si>
    <t>АВИАМОТОРНАЯ  Т/ЗАЛ</t>
  </si>
  <si>
    <t>ул.Авиамоторная, д.51</t>
  </si>
  <si>
    <t>Москва, ул.Авиамоторная, д.51</t>
  </si>
  <si>
    <t>БУДЕННОГО-51 ПР-КТ  Т/ЗАЛ</t>
  </si>
  <si>
    <t>Буденного пр-т, д. 51 к 5</t>
  </si>
  <si>
    <t>Москва, Буденного пр-т, д. 51 к 5</t>
  </si>
  <si>
    <t>ГОНЧАРНЫЙ_ПР-Д    Т/ЗАЛ</t>
  </si>
  <si>
    <t>Гончарный пр., д. 8/40</t>
  </si>
  <si>
    <t>Москва, Гончарный пр., д. 8/40</t>
  </si>
  <si>
    <t>СИМОНОВСКИЙ ВАЛ   Т/ЗАЛ</t>
  </si>
  <si>
    <t>Симоновский вал, д. 26, корп. 1</t>
  </si>
  <si>
    <t>Москва, Симоновский вал, д. 26, корп. 1</t>
  </si>
  <si>
    <t>СТРОГИНО 21       Т/ЗАЛ</t>
  </si>
  <si>
    <t>Москва, Строгинский бул., 21</t>
  </si>
  <si>
    <t>М.БИРЮЗОВА        Т/ЗАЛ</t>
  </si>
  <si>
    <t>ул.Маршала Бирюзова, д.12</t>
  </si>
  <si>
    <t>Москва, ул.Маршала Бирюзова, д.12</t>
  </si>
  <si>
    <t>ШМИТОВСКИЙ ПР-Д   Т/ЗАЛ</t>
  </si>
  <si>
    <t>Шмитовский проезд, д. 10/7</t>
  </si>
  <si>
    <t>Москва, Шмитовский проезд, д. 10/7</t>
  </si>
  <si>
    <t>АНОХИНА-46/1      Т/ЗАЛ</t>
  </si>
  <si>
    <t>ул. Академика Анохина, д.46, кор.1</t>
  </si>
  <si>
    <t>Москва, ул. Академика Анохина, д.46, кор.1</t>
  </si>
  <si>
    <t>ВОЛГОГРАДСКИЙ ПР-Т Т/ЗАЛ</t>
  </si>
  <si>
    <t>Волгоградский пр-т, д.17, стр.2</t>
  </si>
  <si>
    <t>Москва, Волгоградский пр-т, д.17, стр.2</t>
  </si>
  <si>
    <t>ам регион Долгопрудный_Лихачевское_ш-14</t>
  </si>
  <si>
    <t>Лихачевское ш, д.14 к.1</t>
  </si>
  <si>
    <t>Долгопрудный, Лихачевское ш, д.14 к.1</t>
  </si>
  <si>
    <t>ам регион Химки-Родионова-7а  т/зал</t>
  </si>
  <si>
    <t>ул.Родионова 7А</t>
  </si>
  <si>
    <t>Химки, ул.Родионова 7А</t>
  </si>
  <si>
    <t>ам регион Химки-Мельникова-33 т/зал</t>
  </si>
  <si>
    <t>Мельникова 33</t>
  </si>
  <si>
    <t>Химки, Мельникова 33</t>
  </si>
  <si>
    <t>БАРКЛАЯ-7        Т/ЗАЛ</t>
  </si>
  <si>
    <t>ул.Барклая, д.7</t>
  </si>
  <si>
    <t>Москва, ул.Барклая, д.7</t>
  </si>
  <si>
    <t>ВЕРЕСАЕВА-12      Т/ЗАЛ</t>
  </si>
  <si>
    <t>ул.Вересаева 12</t>
  </si>
  <si>
    <t>Москва, ул.Вересаева 12</t>
  </si>
  <si>
    <t>МАРЬИНО           Т/ЗАЛ</t>
  </si>
  <si>
    <t>Братиславская ул., д.29, кор.1</t>
  </si>
  <si>
    <t>Москва, Братиславская ул., д.29, кор.1</t>
  </si>
  <si>
    <t>БРАТИСЛАВСКАЯ-6   Т/ЗАЛ</t>
  </si>
  <si>
    <t>Братиславская ул., д.6</t>
  </si>
  <si>
    <t>Москва, Братиславская ул., д.6</t>
  </si>
  <si>
    <t>НОВОЧЕРКАССКИЙ_Б_Р-55 Т/ЗАЛ</t>
  </si>
  <si>
    <t>Новочеркасский бульв., д.55</t>
  </si>
  <si>
    <t>Москва, Новочеркасский бульв., д.55</t>
  </si>
  <si>
    <t>ЛЮБЛИНО           Т/ЗАЛ</t>
  </si>
  <si>
    <t>Люблинская ул., д.147</t>
  </si>
  <si>
    <t>Москва, Люблинская ул., д.147</t>
  </si>
  <si>
    <t>КАШИРСКОЕ_Ш 65/1    Т/ЗАЛ</t>
  </si>
  <si>
    <t>Каширское шоссе, д.65, кор.1</t>
  </si>
  <si>
    <t>Москва, Каширское шоссе, д.65, кор.1</t>
  </si>
  <si>
    <t>ЯСЕНЕВАЯ-12 Т/ЗАЛ</t>
  </si>
  <si>
    <t>Ясеневая ул., д.12, кор.1</t>
  </si>
  <si>
    <t>Москва, Ясеневая ул., д.12, кор.1</t>
  </si>
  <si>
    <t>ВОРОНЕЖСКАЯ-7      Т/ЗАЛ</t>
  </si>
  <si>
    <t>Воронежская ул., д.7</t>
  </si>
  <si>
    <t>Москва, Воронежская ул., д.7</t>
  </si>
  <si>
    <t>ПРОЛЕТАРСКИЙ_ПР_Т-27  Т/ЗАЛ</t>
  </si>
  <si>
    <t>Пролетарский просп., д.27</t>
  </si>
  <si>
    <t>Москва, Пролетарский просп., д.27</t>
  </si>
  <si>
    <t>КАШИРСКОЕ_Ш-26    Т/ЗАЛ</t>
  </si>
  <si>
    <t>Каширское шоссе, д.26, кор.2</t>
  </si>
  <si>
    <t>Москва, Каширское шоссе, д.26, кор.2</t>
  </si>
  <si>
    <t>ЖУЛЕБИНО          Т/ЗАЛ</t>
  </si>
  <si>
    <t>Москва, Генерала Кузнецова ул., д.14, кор.1</t>
  </si>
  <si>
    <t>Люберцы_Кирова-9</t>
  </si>
  <si>
    <t>Люберцы</t>
  </si>
  <si>
    <t>Кирова ул., д.9, кор.2</t>
  </si>
  <si>
    <t>Люберцы, Кирова ул., д.9, кор.2</t>
  </si>
  <si>
    <t>Люберцы_Л_Ларюшина-18</t>
  </si>
  <si>
    <t>Лётчика Ларюшина ул., д.18</t>
  </si>
  <si>
    <t>Люберцы, Лётчика Ларюшина ул., д.18</t>
  </si>
  <si>
    <t>Раменское_Высоковольтная-22 ам-долгопрудный</t>
  </si>
  <si>
    <t>Раменское</t>
  </si>
  <si>
    <t>ул.Высоковольтная д.22</t>
  </si>
  <si>
    <t>Раменское_Северное_ш-16а    ам-долгопрудный</t>
  </si>
  <si>
    <t>Северное шоссе д.16а</t>
  </si>
  <si>
    <t>Котельники_Сосновая-1</t>
  </si>
  <si>
    <t>Котельники</t>
  </si>
  <si>
    <t>ул.Сосновая д.1 к.3</t>
  </si>
  <si>
    <t>Котельники, ул.Сосновая д.1 к.3</t>
  </si>
  <si>
    <t>Новые_Котельники-16</t>
  </si>
  <si>
    <t>мкр.Новые Котельники, д.16</t>
  </si>
  <si>
    <t>Котельники, мкр.Новые Котельники, д.16</t>
  </si>
  <si>
    <t>Котельники_Белая_Дача-11</t>
  </si>
  <si>
    <t>мкр. Белая Дача, д.11, кор.1</t>
  </si>
  <si>
    <t>Котельники, мкр. Белая Дача, д.11, кор.1</t>
  </si>
  <si>
    <t>Люберцы_Свободы-3</t>
  </si>
  <si>
    <t>пос.Мирный, ул.Свободы д.3</t>
  </si>
  <si>
    <t>Люберцы, пос.Мирный, ул.Свободы д.3</t>
  </si>
  <si>
    <t>ЧЕРТАНОВО         Т/ЗАЛ</t>
  </si>
  <si>
    <t>ул.Чертановская, д.1В, кор.1</t>
  </si>
  <si>
    <t>Москва, Чертановская ул., д.1В, кор.1</t>
  </si>
  <si>
    <t>ЯНГЕЛЯ-2          Т/ЗАЛ НОВЫЙ</t>
  </si>
  <si>
    <t>ул.Янгеля Академика д.2</t>
  </si>
  <si>
    <t>Москва, ул.Янгеля Академика д.2</t>
  </si>
  <si>
    <t>ВАРШАВСКОЕ_Ш-168  Т/ЗАЛ</t>
  </si>
  <si>
    <t>Варшавское ш., д.168</t>
  </si>
  <si>
    <t>Москва, Варшавское ш., д.168</t>
  </si>
  <si>
    <t>БУТОВО            Т/ЗАЛ</t>
  </si>
  <si>
    <t>Москва, Бульвар Дмитрия Донского, д.16</t>
  </si>
  <si>
    <t>ам регион Подольск          т/зал</t>
  </si>
  <si>
    <t>Подольск</t>
  </si>
  <si>
    <t>просп. Ленина, д.111</t>
  </si>
  <si>
    <t>Подольск,Ленина просп., д.111</t>
  </si>
  <si>
    <t>Видное_Радужная-2</t>
  </si>
  <si>
    <t>Видное</t>
  </si>
  <si>
    <t>ул.Радужная 2</t>
  </si>
  <si>
    <t>Видное, Радужная ул., д.2</t>
  </si>
  <si>
    <t>Домодедово_Лунная-33</t>
  </si>
  <si>
    <t>Домодедово</t>
  </si>
  <si>
    <t>Домодедово, микрорайон Западный, ул.Лунная, д.33</t>
  </si>
  <si>
    <t>Сапроново_Центальный_кв-1</t>
  </si>
  <si>
    <t>дер.Сапроново,мкр.Купелинка,кв.Центральный,д.1</t>
  </si>
  <si>
    <t>Ленинский г.о., дер.Сапроново,мкр.Купелинка,кв.Центральный,д.1</t>
  </si>
  <si>
    <t>Дрожжино_Южная-7</t>
  </si>
  <si>
    <t>Дрожжино раб.пос., Южная ул., д.7</t>
  </si>
  <si>
    <t>Ленинский г.о., Дрожжино раб.пос., Южная ул., д.7</t>
  </si>
  <si>
    <t>Боброво_Крымская-7</t>
  </si>
  <si>
    <t>рп Боброво, ул.Крымская, д. 7</t>
  </si>
  <si>
    <t>Ленинский г.о., рп Боброво, ул.Крымская, д. 7</t>
  </si>
  <si>
    <t>Солнечный_бул-10</t>
  </si>
  <si>
    <t>Ленинский г.о., рп.Лопатино, Солнечный бульвар, д. 10</t>
  </si>
  <si>
    <t>ам регион бережки_каскад_парк-51</t>
  </si>
  <si>
    <t>УНИВЕРСИТЕТСКИЙ ПР_КТ Т/ЗАЛ</t>
  </si>
  <si>
    <t>Университетский просп., д.23, кор.1</t>
  </si>
  <si>
    <t>Москва, Университетский просп., д.23, кор.1</t>
  </si>
  <si>
    <t>СТРОИТЕЛЕЙ        Т/ЗАЛ</t>
  </si>
  <si>
    <t>ул.Строителей д. 11, корп. 1</t>
  </si>
  <si>
    <t>Москва, Строителей ул., д.11, корп. 1</t>
  </si>
  <si>
    <t>ЛЕНИНСКИЙ-87      Т/ЗАЛ</t>
  </si>
  <si>
    <t>Ленинский проспект, д.87</t>
  </si>
  <si>
    <t>Москва, Ленинский проспект, д.87</t>
  </si>
  <si>
    <t>СЕВАСТОПОЛЬСКИЙ-22   Т/ЗАЛ</t>
  </si>
  <si>
    <t>Севастопольский просп., д.22</t>
  </si>
  <si>
    <t>Москва, Севастопольский просп., д.22</t>
  </si>
  <si>
    <t>ЧОНГАРСКИЙ_Б-Р    Т/ЗАЛ</t>
  </si>
  <si>
    <t>Чонгарский бульвар, д.10, кор.1</t>
  </si>
  <si>
    <t>Москва, Чонгарский бульвар, д.10, кор.1</t>
  </si>
  <si>
    <t>ПЛЮЩИХА-31        Т/ЗАЛ</t>
  </si>
  <si>
    <t>ул.Плющиха, д.31</t>
  </si>
  <si>
    <t>Москва, ул.Плющиха, д.31</t>
  </si>
  <si>
    <t>ШАБОЛОВКА УЛ.     Т/ЗАЛ</t>
  </si>
  <si>
    <t>ул.Шаболовка, д.65, кор.1</t>
  </si>
  <si>
    <t>Москва, ул.Шаболовка, д.65, кор.1</t>
  </si>
  <si>
    <t>ул.Мытная, д.62</t>
  </si>
  <si>
    <t>Москва, ул.Мытная, д.62</t>
  </si>
  <si>
    <t>ПРЕСНЕНСКИЙ_ВАЛ-8/1  Т/ЗАЛ</t>
  </si>
  <si>
    <t>Пресненский вал 8 к1</t>
  </si>
  <si>
    <t>Москва, Пресненский вал 8 к1</t>
  </si>
  <si>
    <t>ГРУЗИНСКИЙ_ВАЛ-18/15 Т/ЗАЛ</t>
  </si>
  <si>
    <t>Москва, ул. Грузинский вал, д.18/15</t>
  </si>
  <si>
    <t>Б_ГРУЗИНСКАЯ-37  Т/ЗАЛ</t>
  </si>
  <si>
    <t>СЕЛЕЗНЕВСКАЯ-4   Т/ЗАЛ</t>
  </si>
  <si>
    <t>Москва, ул.Селезневская 4</t>
  </si>
  <si>
    <t>БУТЫРСКИЙ_ВАЛ-4     Т/ЗАЛ</t>
  </si>
  <si>
    <t>Москва, ул.Бутырский вал, 4</t>
  </si>
  <si>
    <t>НОВОСЛОБОДСКАЯ-67/69  Т/ЗАЛ</t>
  </si>
  <si>
    <t>Новослободская ул, д.67/69</t>
  </si>
  <si>
    <t>Москва, ул.Новослободская, д.67/69</t>
  </si>
  <si>
    <t>ЛЕНИНГРАДСКИЙ_ПР_Т-9 Т/ЗАЛ</t>
  </si>
  <si>
    <t xml:space="preserve">Москва, ЛЕНИНГРАДСКИЙ ПРОСП. 9 </t>
  </si>
  <si>
    <t>ДМИТРОВСКОЕ_Ш-64  Т/ЗАЛ</t>
  </si>
  <si>
    <t>ДМИТРОВСКОЕ_Ш-70  Т/ЗАЛ</t>
  </si>
  <si>
    <t>Дмитровское ш., д.70</t>
  </si>
  <si>
    <t>Москва, Дмитровское ш., д.70</t>
  </si>
  <si>
    <t>ДМИТРОВСКОЕ_Ш-107А  Т/ЗАЛ</t>
  </si>
  <si>
    <t>Дмитровское ш.,д.107А к.5</t>
  </si>
  <si>
    <t>Москва, Дмитровское ш.,д.107А к.5</t>
  </si>
  <si>
    <t>КОРОВИНСКОЕ_Ш-1   Т/ЗАЛ</t>
  </si>
  <si>
    <t>Коровинское ш, д.1, кор.1</t>
  </si>
  <si>
    <t>Москва, Коровинское ш, д.1, кор.1</t>
  </si>
  <si>
    <t>ИЛЬМЕНСКИЙ_ПР_Д-14  Т/ЗАЛ</t>
  </si>
  <si>
    <t>Ильменский пр-д, д.14 к.6</t>
  </si>
  <si>
    <t>Москва, Ильменский пр-д, д.14 к.6</t>
  </si>
  <si>
    <t>Дубна_боголюбова-17</t>
  </si>
  <si>
    <t>Дубна</t>
  </si>
  <si>
    <t>Боголюбова ул 17</t>
  </si>
  <si>
    <t>ДУБНА_БОГОЛЮБОВА-45</t>
  </si>
  <si>
    <t>Боголюбова ул 45</t>
  </si>
  <si>
    <t>ВОЛОКОЛАМСКОЕ_Ш-71  Т/ЗАЛ</t>
  </si>
  <si>
    <t>Волоколамское ш., д.71 кор.4</t>
  </si>
  <si>
    <t>Москва, Волоколамское ш., д.71 кор.4</t>
  </si>
  <si>
    <t>ЯНА_РАЙНИСА-2     Т/ЗАЛ</t>
  </si>
  <si>
    <t>Москва, Бульвар Яна Райниса, д. 2, к. 1</t>
  </si>
  <si>
    <t>БЕЛОМОРСКАЯ-23    Т/ЗАЛ</t>
  </si>
  <si>
    <t>Беломорская ул, д.23</t>
  </si>
  <si>
    <t>Москва, Беломорская ул, д.23</t>
  </si>
  <si>
    <t>КРОНШТАДТСКИЙ-47    Т/ЗАЛ</t>
  </si>
  <si>
    <t>Кронштадский б-р, 47</t>
  </si>
  <si>
    <t>Москва, Кронштадский б-р, 47</t>
  </si>
  <si>
    <t>ФЕСТИВАЛЬНАЯ-41   Т/ЗАЛ</t>
  </si>
  <si>
    <t>Фестивальная ул. 41 корп.№ 1</t>
  </si>
  <si>
    <t>СОКОЛ             Т/ЗАЛ</t>
  </si>
  <si>
    <t>Ленинградский пр-т, д. 74, стр.1</t>
  </si>
  <si>
    <t>Москва, Ленинградский пр-т, д. 74, стр.1</t>
  </si>
  <si>
    <t>КОСМОДЕМЬЯНСКИХ ЗиА Т/ЗАЛ</t>
  </si>
  <si>
    <t>ул. Космодемьянских ЗиА, д.35/1</t>
  </si>
  <si>
    <t>Москва, ул. Космодемьянских ЗиА, д.35/1</t>
  </si>
  <si>
    <t>МАРШАЛА РЫБАЛКО-3 Т/ЗАЛ</t>
  </si>
  <si>
    <t>Москва, РЫБАЛКО МАРШАЛА УЛ. 3</t>
  </si>
  <si>
    <t>КУУСИНЕНА-4 Т/ЗАЛ</t>
  </si>
  <si>
    <t>ул.Куусинена, 4, к.1</t>
  </si>
  <si>
    <t>Москва, ул.Куусинена, 4, к.1</t>
  </si>
  <si>
    <t>МАРШАЛА ЖУКОВА-30    Т/ЗАЛ</t>
  </si>
  <si>
    <t>Москва, ЖУКОВА МАРШАЛА ПР-КТ 30</t>
  </si>
  <si>
    <t>3_ХОРОШЕВСКАЯ-27/3   Т/ЗАЛ</t>
  </si>
  <si>
    <t>3-я Хорошевская ул., д.27, кор.3</t>
  </si>
  <si>
    <t>Москва, 3-я Хорошевская ул., д.27, кор.3</t>
  </si>
  <si>
    <t>ПЯТНИЦКОЕ_Ш-21    Т/ЗАЛ</t>
  </si>
  <si>
    <t>Москва, ПЯТНИЦКОЕ Ш. 21</t>
  </si>
  <si>
    <t>Красногорск_Пятницкая-12    ам-долгопрудный</t>
  </si>
  <si>
    <t>п.Отрадное, ул Пятницкая, д.12</t>
  </si>
  <si>
    <t>г.о. Красногорск, п.Отрадное, ул Пятницкая, д.12</t>
  </si>
  <si>
    <t>Красногорск_Кленовая-5      ам-Долгопрудный</t>
  </si>
  <si>
    <t>п.Отрадное, ул.Кленовая 5</t>
  </si>
  <si>
    <t>г.о.Красногорск, п.Отрадное, ул.Кленовая 5</t>
  </si>
  <si>
    <t>Зеленоград</t>
  </si>
  <si>
    <t>Зеленоград_ГЕОРГИЕВСКИЙ-33 Т/ЗАЛ</t>
  </si>
  <si>
    <t>Георгиевский пр-т, 33 к.6</t>
  </si>
  <si>
    <t>Зеленоград, Георгиевский пр-т, 33 к.6</t>
  </si>
  <si>
    <t>Красногорск_мерлушкина-3    ам-долгопрудный</t>
  </si>
  <si>
    <t xml:space="preserve">Игоря Мерлушкина ул.,  д. 3  </t>
  </si>
  <si>
    <t xml:space="preserve">Красногорск, Игоря Мерлушкина ул.,  д. 3  </t>
  </si>
  <si>
    <t>ам регион Красногорск_Нар_ополчения-1</t>
  </si>
  <si>
    <t>Народного ополчения ул., 1 к 1</t>
  </si>
  <si>
    <t>Красногорск, Народного ополчения ул., 1 к 1</t>
  </si>
  <si>
    <t>Нахабино_Королева-2         ам-долгопрудный</t>
  </si>
  <si>
    <t>Нахабино</t>
  </si>
  <si>
    <t>Королева ул., д.2</t>
  </si>
  <si>
    <t>Нахабино, Королева ул., д.2</t>
  </si>
  <si>
    <t>Истра</t>
  </si>
  <si>
    <t>ам регион Истра_9_Гвардейская-38</t>
  </si>
  <si>
    <t>9-ой Гвардейской Дивизии ул., д.38</t>
  </si>
  <si>
    <t>Истра, 9-ой Гвардейской Дивизии ул., д.38</t>
  </si>
  <si>
    <t>ам регион Ильинское_Архангельская-4</t>
  </si>
  <si>
    <t>п.Ильинское-Усово,ул.Архангельская, д.4</t>
  </si>
  <si>
    <t>г.о.Красногорск, п.Ильинское-Усово,ул.Архангельская, д.4</t>
  </si>
  <si>
    <t>КАПЕЛЬСКИЙ/ПРОСП. МИРА Т/ЗАЛ</t>
  </si>
  <si>
    <t>Проспект Мира, д.49 стр.1</t>
  </si>
  <si>
    <t>Москва, Проспект Мира, д.49 стр.1</t>
  </si>
  <si>
    <t>ПРОСПЕКТ МИРА-102 Т/ЗАЛ</t>
  </si>
  <si>
    <t>Проспект Мира, д.102</t>
  </si>
  <si>
    <t>Москва, Проспект Мира, д.102</t>
  </si>
  <si>
    <t>ПРОСПЕКТ МИРА-146 Т/ЗАЛ</t>
  </si>
  <si>
    <t>Проспект Мира, д.146</t>
  </si>
  <si>
    <t>Москва, Проспект Мира, д.146</t>
  </si>
  <si>
    <t>Енисейская ул., д.17, кор. 1</t>
  </si>
  <si>
    <t>Москва, Енисейская ул., д.17, кор. 1</t>
  </si>
  <si>
    <t>ам регион Химки-Совхозная-16  т/зал</t>
  </si>
  <si>
    <t>Совхозная 16</t>
  </si>
  <si>
    <t>Химки, Совхозная 16</t>
  </si>
  <si>
    <t>Химки_Германа_Титова-10     ам-долгопрудный</t>
  </si>
  <si>
    <t>ул.Германа Титова, 10</t>
  </si>
  <si>
    <t>Химки, ул.Германа Титова, 10</t>
  </si>
  <si>
    <t>ам регион лобня_ленина-67</t>
  </si>
  <si>
    <t>Лобня</t>
  </si>
  <si>
    <t>ул.Ленина, д.67</t>
  </si>
  <si>
    <t>Лобня, ул.Ленина, д.67</t>
  </si>
  <si>
    <t>Шолохово_Юности-1</t>
  </si>
  <si>
    <t>г.о.Мытищи</t>
  </si>
  <si>
    <t>д. Шолохово, ул. Юности, д. 1</t>
  </si>
  <si>
    <t>г.о.Мытищи, д. Шолохово, ул. Юности, д. 1</t>
  </si>
  <si>
    <t>Сходня_Юбилейный_пр_д-5     ам-долгопрудный</t>
  </si>
  <si>
    <t>мкр.Сходня, Юбилейный проезд,вл.5,стр.5</t>
  </si>
  <si>
    <t>Химки, мкр.Сходня, Юбилейный проезд,вл.5,стр.5</t>
  </si>
  <si>
    <t>Химки_Мельникова-5          ам-долгопрудный</t>
  </si>
  <si>
    <t>Мельникова, д. 5, корп.2</t>
  </si>
  <si>
    <t>Химки, Мельникова, д. 5, корп.2</t>
  </si>
  <si>
    <t>Химки_Московская-22/1       ам-долгопрудный</t>
  </si>
  <si>
    <t>ул. Московская, 22/1, кор.1</t>
  </si>
  <si>
    <t>Мытищи_колпакова-26</t>
  </si>
  <si>
    <t>Мытищи</t>
  </si>
  <si>
    <t>ул.Колпакова, д.26</t>
  </si>
  <si>
    <t>Мытищи, ул.Колпакова, д.26</t>
  </si>
  <si>
    <t>Мытищи_Астрахова-2</t>
  </si>
  <si>
    <t>просп. Астрахова, д.2</t>
  </si>
  <si>
    <t>Мытищи, просп. Астрахова, д.2</t>
  </si>
  <si>
    <t>Мытищи_Мира-37</t>
  </si>
  <si>
    <t>Мира ул., д.37</t>
  </si>
  <si>
    <t>Мытищи, Мира ул., д.37</t>
  </si>
  <si>
    <t>Мытищи_Летная-21</t>
  </si>
  <si>
    <t>Летная ул., д.21/2</t>
  </si>
  <si>
    <t>Мытищи, Летная ул., д.21/2</t>
  </si>
  <si>
    <t>Мытищи_Юбилейная-10</t>
  </si>
  <si>
    <t>Юбилейная ул., д.10</t>
  </si>
  <si>
    <t>Мытищи, Юбилейная ул., д.10</t>
  </si>
  <si>
    <t>Мытищи_рождественская-11</t>
  </si>
  <si>
    <t xml:space="preserve">Рождественская ул 11 </t>
  </si>
  <si>
    <t xml:space="preserve">Мытищи, Рождественская ул 11 </t>
  </si>
  <si>
    <t>Мытищи_Ак_Каргина-23а</t>
  </si>
  <si>
    <t>ул. Академика Каргина, д.23А</t>
  </si>
  <si>
    <t>Мытищи, ул. Академика Каргина, д.23А</t>
  </si>
  <si>
    <t>Мытищи_Осташковское_ш-22</t>
  </si>
  <si>
    <t>Осташковское шоссе, д.22, корп.2</t>
  </si>
  <si>
    <t>Мытищи, Осташковское шоссе, д.22, корп.2</t>
  </si>
  <si>
    <t>Королев</t>
  </si>
  <si>
    <t>Королев_ак_Легостаева-8</t>
  </si>
  <si>
    <t>ул. Академика Легостаева,8</t>
  </si>
  <si>
    <t>Королев, ул. Академика Легостаева,8</t>
  </si>
  <si>
    <t>Королев_Тихонравова-35</t>
  </si>
  <si>
    <t>ул.М.К.Тихонравова, д.35, кор.7</t>
  </si>
  <si>
    <t>Королев, ул.М.К.Тихонравова, д.35, кор.7</t>
  </si>
  <si>
    <t>Королев_Ленинская-11а</t>
  </si>
  <si>
    <t>Королев, Ленинская ул., д.11А</t>
  </si>
  <si>
    <t>ам регион Ивантеевка_Хлебозаводская-30</t>
  </si>
  <si>
    <t>Ивантеевка</t>
  </si>
  <si>
    <t>ул. Хлебозаводская, д. 30</t>
  </si>
  <si>
    <t>Ивантеевка, ул. Хлебозаводская, д. 30</t>
  </si>
  <si>
    <t>БАКУНИНСКАЯ       Т/ЗАЛ</t>
  </si>
  <si>
    <t>ул.Бакунинская, д. 23/41</t>
  </si>
  <si>
    <t>Москва, ул.Бакунинская, д. 23/41</t>
  </si>
  <si>
    <t>ЛЕФОРТОВСКИЙ ВАЛ  Т/ЗАЛ</t>
  </si>
  <si>
    <t>ул. Лефортовский вал, д. 11</t>
  </si>
  <si>
    <t>Москва, ул. Лефортовский вал, д. 11</t>
  </si>
  <si>
    <t>ИЗМАЙЛОВО         Т/ЗАЛ</t>
  </si>
  <si>
    <t>Москва, Измайловский бульвар, д. 11/31</t>
  </si>
  <si>
    <t>Балашиха</t>
  </si>
  <si>
    <t>ам регион Щелково           т/зал</t>
  </si>
  <si>
    <t>Щелково</t>
  </si>
  <si>
    <t>Щелково, г. Щелково,ул.Талсинская, д.4а</t>
  </si>
  <si>
    <t>ам регион Щелково-Ленина-1  т/зал</t>
  </si>
  <si>
    <t>пл. Ленина 1</t>
  </si>
  <si>
    <t>Щелково, пл. Ленина 1</t>
  </si>
  <si>
    <t>АМ РЕГИОН ЩЕЛКОВО_ЦЕНТРАЛЬНАЯ-17А Т/ЗАЛ</t>
  </si>
  <si>
    <t>ул Центральная 17</t>
  </si>
  <si>
    <t>Щелково, ул Центральная 17</t>
  </si>
  <si>
    <t>ам регион Балашиха-Ленина-23/5  т/зал</t>
  </si>
  <si>
    <t>ам регион Балашиха-Первомайская-1 т/зал</t>
  </si>
  <si>
    <t>Балашиха, г. Балашиха, Первомайский пр-д 1</t>
  </si>
  <si>
    <t>ам регион Балашиха-Свердлова-16   т/зал</t>
  </si>
  <si>
    <t>Свердлова 16 к 5</t>
  </si>
  <si>
    <t>Балашиха, Свердлова 16 к 5</t>
  </si>
  <si>
    <t>МУКОМОЛЬНЫЙ-2     Т/ЗАЛ</t>
  </si>
  <si>
    <t>Москва, Мукомольные проезд, д.2</t>
  </si>
  <si>
    <t>БЕРЕГОВОЙ_ПРОЕЗД-4/6  Т/ЗАЛ</t>
  </si>
  <si>
    <t>Береговой проезд, д.4/6, стр.3</t>
  </si>
  <si>
    <t>Москва, Береговой проезд, д.4/6, стр.3</t>
  </si>
  <si>
    <t>Б.ФИЛЕВСКАЯ       Т/ЗАЛ</t>
  </si>
  <si>
    <t>ул.Большая Филевская, д. 19/18, кор.1</t>
  </si>
  <si>
    <t>Москва, ул.Большая Филевская, д. 19/18, кор.1</t>
  </si>
  <si>
    <t>МАЛАЯ ФИЛЕВСКАЯ-18    Т/ЗАЛ</t>
  </si>
  <si>
    <t>Малая Филёвская,д.18</t>
  </si>
  <si>
    <t>Москва, Малая Филёвская,д.18</t>
  </si>
  <si>
    <t>ПРЕСНЕНСКАЯ_НАБ-12  Т/ЗАЛ</t>
  </si>
  <si>
    <t>Пресненская наб, 12</t>
  </si>
  <si>
    <t>Москва, Пресненская наб, 12</t>
  </si>
  <si>
    <t>Одинцово</t>
  </si>
  <si>
    <t>ам регион Одинцово_Сколковская-3а  т/зал</t>
  </si>
  <si>
    <t xml:space="preserve">ул. Сколковская, д. 3А </t>
  </si>
  <si>
    <t xml:space="preserve">Одинцово, ул. Сколковская, д. 3А </t>
  </si>
  <si>
    <t>ам регион Одинцово_Сколковская-5а  т/зал</t>
  </si>
  <si>
    <t xml:space="preserve">ул. Сколковская, д. 5А </t>
  </si>
  <si>
    <t xml:space="preserve">Одинцово, ул. Сколковская, д. 5А </t>
  </si>
  <si>
    <t>Одинцово_Маршала_Жукова-34</t>
  </si>
  <si>
    <t>Маршала Жукова ул 34</t>
  </si>
  <si>
    <t>Одинцово, Маршала Жукова ул 34</t>
  </si>
  <si>
    <t>Одинцово_Говорова-34</t>
  </si>
  <si>
    <t>Говорова ул 34</t>
  </si>
  <si>
    <t>Одинцово, Говорова ул 34</t>
  </si>
  <si>
    <t>Одинцово_Северная-5</t>
  </si>
  <si>
    <t>Северная ул., д.5, кор.2</t>
  </si>
  <si>
    <t>Одинцово, Северная ул., д.5, кор.2</t>
  </si>
  <si>
    <t>Одинцово_М_Бирюзова-13</t>
  </si>
  <si>
    <t>Маршала Бирюзова ул, д.13</t>
  </si>
  <si>
    <t>Одинцово, Маршала Бирюзова ул, д.13</t>
  </si>
  <si>
    <t>Одинцово_Вокзальная-31</t>
  </si>
  <si>
    <t>Вокзальная ул., д.31</t>
  </si>
  <si>
    <t>Одинцово, Вокзальная ул., д.31</t>
  </si>
  <si>
    <t>Одинцово_Можайское_ш-101</t>
  </si>
  <si>
    <t>Можайское шоссе,д. 101А</t>
  </si>
  <si>
    <t>Одинцово, Можайское шоссе,д. 101А</t>
  </si>
  <si>
    <t>Одинцово_Можайское_ш-122</t>
  </si>
  <si>
    <t>Можайское шоссе,д. 122</t>
  </si>
  <si>
    <t>Одинцово, Можайское шоссе,д. 122</t>
  </si>
  <si>
    <t>Одинцово_Каштановая-4</t>
  </si>
  <si>
    <t>ул.Каштановая, 4</t>
  </si>
  <si>
    <t>Одинцово, ул.Каштановая, 4</t>
  </si>
  <si>
    <t>Одинцово_Триумфальная-10</t>
  </si>
  <si>
    <t>Триумфальная 10</t>
  </si>
  <si>
    <t>Одинцово, Триумфальная 10</t>
  </si>
  <si>
    <t>лесной_городок_молодежная-7 ам-долгопрудный</t>
  </si>
  <si>
    <t>Одинцовский г.о</t>
  </si>
  <si>
    <t>дп. Лесной Городок, ул. Молодежная, д. 7</t>
  </si>
  <si>
    <t>Одинцовский г.о, дп. Лесной Городок, ул. Молодежная, д. 7</t>
  </si>
  <si>
    <t>РУБЛЕВСКОЕ_Ш-16   Т/ЗАЛ</t>
  </si>
  <si>
    <t>Рублевское ш., д.16, кор.1</t>
  </si>
  <si>
    <t>Москва, Рублевское ш., д.16, кор.1</t>
  </si>
  <si>
    <t>ПОЛОЦКАЯ          Т/ЗАЛ</t>
  </si>
  <si>
    <t xml:space="preserve">ул.Полоцкая, д.14 </t>
  </si>
  <si>
    <t xml:space="preserve">Москва, ул.Полоцкая, д.14 </t>
  </si>
  <si>
    <t>ЯРЦЕВСКАЯ-4       Т/ЗАЛ</t>
  </si>
  <si>
    <t>НОВОПЕРЕДЕЛКИНСКАЯ 13  Т/ЗАЛ</t>
  </si>
  <si>
    <t>Новопеределкинская 13А</t>
  </si>
  <si>
    <t>Москва, Новопеределкинская 13А</t>
  </si>
  <si>
    <t>Апрелевка</t>
  </si>
  <si>
    <t>МОСКОВСКИЙ_1_МКРН-158 Т/ЗАЛ</t>
  </si>
  <si>
    <t>Московский</t>
  </si>
  <si>
    <t>1-й мкрн, д.158</t>
  </si>
  <si>
    <t>Московский, 1-й мкрн, д.158</t>
  </si>
  <si>
    <t>КУПРИНА-40        Т/ЗАЛ</t>
  </si>
  <si>
    <t>Сосенское, Куприна просп, д.40, кор.1</t>
  </si>
  <si>
    <t>Москва, Сосенское, Куприна просп, д.40, кор.1</t>
  </si>
  <si>
    <t>Троицк_Солнечная-9  т/зал</t>
  </si>
  <si>
    <t>Троицк</t>
  </si>
  <si>
    <t>ул.Солнечная 9</t>
  </si>
  <si>
    <t>Троицк, ул.Солнечная 9</t>
  </si>
  <si>
    <t>МОЖАЙСКОЕ_Ш-29    Т/ЗАЛ</t>
  </si>
  <si>
    <t>Можайское ш, д.29</t>
  </si>
  <si>
    <t>Москва, Можайское ш, д.29</t>
  </si>
  <si>
    <t>АМИНЬЕВСКОЕ       Т/ЗАЛ</t>
  </si>
  <si>
    <t>Аминьевское шоссе, д.16</t>
  </si>
  <si>
    <t>Москва, Аминьевское шоссе, д.16</t>
  </si>
  <si>
    <t>СУДОСТРОИТЕЛЬНАЯ-17 Т/ЗАЛ</t>
  </si>
  <si>
    <t>ул.Судостроительная, 17</t>
  </si>
  <si>
    <t>Москва, ул.Судостроительная, 17</t>
  </si>
  <si>
    <t>СУДОСТРОИТЕЛЬНАЯ-1  Т/ЗАЛ</t>
  </si>
  <si>
    <t>ул.Судостроительная, 1</t>
  </si>
  <si>
    <t>Москва, ул.Судостроительная, 1</t>
  </si>
  <si>
    <t>РАБОЧАЯ           Т/ЗАЛ</t>
  </si>
  <si>
    <t>ул.Рабочая, д.8</t>
  </si>
  <si>
    <t>Москва, ул.Рабочая, д.8</t>
  </si>
  <si>
    <t>БУДЕННОГО   ПР-КТ  Т/ЗАЛ</t>
  </si>
  <si>
    <t>Буденного пр-т, д. 30/8</t>
  </si>
  <si>
    <t>Москва, Буденного пр-т, д. 30/8</t>
  </si>
  <si>
    <t>реутов_ленина-4</t>
  </si>
  <si>
    <t>Реутов</t>
  </si>
  <si>
    <t>ул.Ленина, д.4</t>
  </si>
  <si>
    <t>Реутов, ул.Ленина, д.4</t>
  </si>
  <si>
    <t>Реутов Челомея-11</t>
  </si>
  <si>
    <t>ул.Челомея, д.11</t>
  </si>
  <si>
    <t>Реутов, ул.Челомея, д.11</t>
  </si>
  <si>
    <t>НОВОКОСИНСКАЯ-13  Т/ЗАЛ</t>
  </si>
  <si>
    <t>Люберцы_Инициативная-7в</t>
  </si>
  <si>
    <t>Инициативная ул., д.7В</t>
  </si>
  <si>
    <t>Люберцы, Инициативная ул., д.7В</t>
  </si>
  <si>
    <t>Люберцы_8 Марта-18</t>
  </si>
  <si>
    <t>ул.8 марта, д.18, кор.1</t>
  </si>
  <si>
    <t>Люберцы, ул.8 марта, д.18, кор.1</t>
  </si>
  <si>
    <t>Люберцы_Комсомольский-16</t>
  </si>
  <si>
    <t>Комсомольский просп., д.16, кор.2</t>
  </si>
  <si>
    <t>Люберцы, Комсомольский просп., д.16, кор.2</t>
  </si>
  <si>
    <t>Люберцы_Юности-13</t>
  </si>
  <si>
    <t>Юности, 13 к 1</t>
  </si>
  <si>
    <t>Люберцы, Юности, 13 к 1</t>
  </si>
  <si>
    <t>Люберцы_Весенняя-12</t>
  </si>
  <si>
    <t>Весенняя ул, 12</t>
  </si>
  <si>
    <t>Люберцы, Весенняя ул, 12</t>
  </si>
  <si>
    <t>Люберцы_Камова-5</t>
  </si>
  <si>
    <t>ул.Камова д.5 к.1</t>
  </si>
  <si>
    <t>Люберцы, ул.Камова д.5 к.1</t>
  </si>
  <si>
    <t>Красково_Егорьевское_ш-1</t>
  </si>
  <si>
    <t>Люберцы, дачный поселок Красково, Егорьевское ш., д.1, кор.1</t>
  </si>
  <si>
    <t>Балашиха_Спасский-1</t>
  </si>
  <si>
    <t>Балашиха, г.о.Балашиха,мкр.Саввино,Спасский б-р д.1</t>
  </si>
  <si>
    <t>РАЕВСКОГО         Т/ЗАЛ</t>
  </si>
  <si>
    <t>ул.Раевского, д.3</t>
  </si>
  <si>
    <t>Москва, ул.Раевского, д.3</t>
  </si>
  <si>
    <t>СТУДЕНЧЕСКАЯ      Т/ЗАЛ</t>
  </si>
  <si>
    <t xml:space="preserve">ул.Студенческая, д.32 </t>
  </si>
  <si>
    <t xml:space="preserve">Москва, ул.Студенческая, д.32 </t>
  </si>
  <si>
    <t>ПЛ_ПОБЕДЫ-1Б      Т/ЗАЛ</t>
  </si>
  <si>
    <t>Победы пл., д.1б</t>
  </si>
  <si>
    <t>Москва, Победы пл., д.1б</t>
  </si>
  <si>
    <t>БЕРЕЖКОВСКАЯ_НАБ-8   Т/ЗАЛ</t>
  </si>
  <si>
    <t>Москва, БЕРЕЖКОВСКАЯ НАБ. д.8</t>
  </si>
  <si>
    <t>НОВЫЙ_АРБАТ-31/12     Т/ЗАЛ</t>
  </si>
  <si>
    <t>Москва, НОВЫЙ АРБАТ УЛ., Д.31, к.12</t>
  </si>
  <si>
    <t>ГОГОЛЕВСКИЙ Б-Р   Т/ЗАЛ</t>
  </si>
  <si>
    <t>Гоголевский б-р., д.33/1</t>
  </si>
  <si>
    <t>Москва, Гоголевский б-р., д.33/1</t>
  </si>
  <si>
    <t>ОСТОЖЕНКА-30    Т/ЗАЛ</t>
  </si>
  <si>
    <t>Остоженка ул., д.30, кор.1</t>
  </si>
  <si>
    <t>Москва, Остоженка ул., д.30, кор.1</t>
  </si>
  <si>
    <t>СТАРОКОНЮШЕННЫЙ_ПЕР-45 Т/ЗАЛ</t>
  </si>
  <si>
    <t>Староконюшенный 45</t>
  </si>
  <si>
    <t>Москва, Староконюшенный 45</t>
  </si>
  <si>
    <t>СИВЦЕВ ВРАЖЕК      Т/ЗАЛ</t>
  </si>
  <si>
    <t>Сивцев Вражек пер., д.6/2, стр.1</t>
  </si>
  <si>
    <t>Москва, Сивцев Вражек пер., д.6/2, стр.1</t>
  </si>
  <si>
    <t>ПЛОТНИКОВ_ПЕР_К-20/21 Т/ЗАЛ</t>
  </si>
  <si>
    <t>Москва, ПЛОТНИКОВ ПЕР. 20 к.№ 21</t>
  </si>
  <si>
    <t>МАЛАЯ БРОННАЯ     Т/ЗАЛ</t>
  </si>
  <si>
    <t>ул.Малая Бронная, д.22, стр.1</t>
  </si>
  <si>
    <t>Москва, ул.Малая Бронная, д.22, стр.1</t>
  </si>
  <si>
    <t>Б_ПАЛАШЕВСКИЙ_ПЕР_К-14/7  Т/ЗАЛ</t>
  </si>
  <si>
    <t>Москва, Б.ПАЛАШЕВСКИЙ ПЕР. 14 к 7/5</t>
  </si>
  <si>
    <t>ВОРОТНИКОВСКИЙ    Т/ЗАЛ</t>
  </si>
  <si>
    <t>Москва, Воротниковский переулок, д.5/9</t>
  </si>
  <si>
    <t>ЦВЕТНОЙ Б-Р       Т/ЗАЛ</t>
  </si>
  <si>
    <t>Цветной бульвар, д.25, стр.1</t>
  </si>
  <si>
    <t>Москва, Цветной бульвар, д.25, стр.1</t>
  </si>
  <si>
    <t>НЕГЛИННАЯ-16/2    Т/ЗАЛ</t>
  </si>
  <si>
    <t>Неглинная ул., д.16/2, стр.4</t>
  </si>
  <si>
    <t>Москва, Неглинная ул., д.16/2, стр.4</t>
  </si>
  <si>
    <t>СУХАРЕВСКАЯ ПЛ.   Т/ЗАЛ</t>
  </si>
  <si>
    <t>Б. Сухаревская пл., д.16/18, стр. 1</t>
  </si>
  <si>
    <t>Москва, Б. Сухаревская пл., д.16/18, стр. 1</t>
  </si>
  <si>
    <t>МЯСНИЦКАЯ-32/1       Т/ЗАЛ</t>
  </si>
  <si>
    <t>Мясницкая ул., д.32/1, к.1</t>
  </si>
  <si>
    <t>Москва, Мясницкая ул., д.32/1, к.1</t>
  </si>
  <si>
    <t>ПОКРОВКА          Т/ЗАЛ</t>
  </si>
  <si>
    <t>Покровка ул., д.29, стр.1</t>
  </si>
  <si>
    <t>Москва, Покровка ул., д.29, стр.1</t>
  </si>
  <si>
    <t>Б_СПАСОГЛИНИЩЕВСКИЙ-9  Т/ЗАЛ</t>
  </si>
  <si>
    <t>Москва, Б.СПАСОГЛИНИЩЕВСКИЙ ПЕР. 9/1 к16</t>
  </si>
  <si>
    <t>СПАРТАКОВСКАЯ-6   Т/ЗАЛ</t>
  </si>
  <si>
    <t>Спартаковская ул, 6</t>
  </si>
  <si>
    <t>Москва, Спартаковская ул, 6</t>
  </si>
  <si>
    <t>КРАСНОСЕЛЬСКАЯ_В-10 Т/ЗАЛ</t>
  </si>
  <si>
    <t>Москва, В.КРАСНОСЕЛЬСКАЯ УЛ. 10</t>
  </si>
  <si>
    <t>КОТЕЛЬНИЧЕСКАЯ-1/15 Т/ЗАЛ</t>
  </si>
  <si>
    <t>Котельническая наб. 1/15</t>
  </si>
  <si>
    <t>Москва, Котельническая наб. 1/15</t>
  </si>
  <si>
    <t>КАЛИТНИКОВСКИЙ Т/ЗАЛ</t>
  </si>
  <si>
    <t>Малая Калитниковская ул., д.1</t>
  </si>
  <si>
    <t>Москва, Малая Калитниковская ул., д.1</t>
  </si>
  <si>
    <t>АВТОЗАВОДСКАЯ-8   Т/ЗАЛ</t>
  </si>
  <si>
    <t>Автозаводская улица, 8, Москва</t>
  </si>
  <si>
    <t>1-Й НОВОКУЗНЕЦКИЙ ПЕР-К   Т/ЗАЛ</t>
  </si>
  <si>
    <t>Москва, 1-й Новокузнецкий пер., д.5-7</t>
  </si>
  <si>
    <t>Б.ПОЛЯНКА-30      Т/ЗАЛ</t>
  </si>
  <si>
    <t>Москва, Б.Полянка ул., д. 30</t>
  </si>
  <si>
    <t>ЖИТНАЯ-10         Т/ЗАЛ</t>
  </si>
  <si>
    <t>Житная 10</t>
  </si>
  <si>
    <t>Москва, Житная 10</t>
  </si>
  <si>
    <t>ОРДЫНСКИЙ_ТУПИК-4А Т/ЗАЛ</t>
  </si>
  <si>
    <t>Ордынский тупик, 4А</t>
  </si>
  <si>
    <t>Москва, Ордынский тупик, 4А</t>
  </si>
  <si>
    <t>КЛИМЕНТОВСКИЙ_ПЕР_К-2  Т/ЗАЛ</t>
  </si>
  <si>
    <t>Климентовский пер., д.2</t>
  </si>
  <si>
    <t>Москва, Климентовский пер., д.2</t>
  </si>
  <si>
    <t>ам регион Щелково_Потаповский-1  т/зал</t>
  </si>
  <si>
    <t>мкр. Потаповский, д.1, к.2</t>
  </si>
  <si>
    <t>Щелково, мкр Потаповский, д.1, кор.2</t>
  </si>
  <si>
    <t>БИРЮЛЕВСКАЯ-49    Т/ЗАЛ</t>
  </si>
  <si>
    <t>Бирюлевская ул, д.49</t>
  </si>
  <si>
    <t>Москва, Бирюлевская ул, д.49</t>
  </si>
  <si>
    <t>Б.Грузинская ул., д.37</t>
  </si>
  <si>
    <t>РОДНИКОВАЯ-9А     Т/ЗАЛ</t>
  </si>
  <si>
    <t>Родниковая ул., д.9А</t>
  </si>
  <si>
    <t>Москва, Родниковая ул., д.9А, кор.5</t>
  </si>
  <si>
    <t>АМ РЕГИОН КРАСНОГОРСК_РУБЛЕВСКОЕ-11</t>
  </si>
  <si>
    <t>д. Глухово, Рублевское предместье ул.,д.11</t>
  </si>
  <si>
    <t>г.о.Красногорск, д. Глухово, Рублевское предместье ул.,д.11</t>
  </si>
  <si>
    <t>ДОМОДЕДОВО_ТВОРЧЕСТВА-1</t>
  </si>
  <si>
    <t>г.о. Домодедово</t>
  </si>
  <si>
    <t>село Домодедово Творчества ул.,д.1</t>
  </si>
  <si>
    <t>г.о.Домодедово, село Домодедово, Творчества ул., д.1</t>
  </si>
  <si>
    <t>жилой комплекс Каскад Парк, деревня Бережки д.51, г.о. Подольск, Московская область</t>
  </si>
  <si>
    <t>Дубна, Боголюбова просп., д.45</t>
  </si>
  <si>
    <t>Дубна, Боголюбова просп., д.17</t>
  </si>
  <si>
    <t>Лобачевского ул., д. 124, кор.1</t>
  </si>
  <si>
    <t>Москва, Лобачевского ул., д.124, кор.1</t>
  </si>
  <si>
    <t>КАХОВКА-25            Т/ЗАЛ</t>
  </si>
  <si>
    <t>Каховка ул, д.25</t>
  </si>
  <si>
    <t>Москва, Каховка ул, д.25</t>
  </si>
  <si>
    <t>М_РОКОССОВСКОГО-39 Т/ЗАЛ</t>
  </si>
  <si>
    <t>Москва, Рокоссовского маршала бульв., д.39, кор.1</t>
  </si>
  <si>
    <t>ВАРШАВСКОЕ_Ш-141      Т/ЗАЛ</t>
  </si>
  <si>
    <t>Варшавское ш., д.141, кор.11</t>
  </si>
  <si>
    <t>Москва, Варшавское ш., д.141, кор.11</t>
  </si>
  <si>
    <t>8П</t>
  </si>
  <si>
    <t>НИКУЛИНСКАЯ-8         Т/ЗАЛ</t>
  </si>
  <si>
    <t>Никулинская ул., д.8, кор.2</t>
  </si>
  <si>
    <t>Москва, Никулинская ул., д.8, кор.2</t>
  </si>
  <si>
    <t>АКАДЕМИКА_ВАРГИ-26Б   Т/ЗАЛ</t>
  </si>
  <si>
    <t>Академика Варги ул., д.26Б</t>
  </si>
  <si>
    <t>Москва, Академика Варги ул., д.26Б</t>
  </si>
  <si>
    <t>Северное шоссе, д.16А, г.Раменское, Московская область</t>
  </si>
  <si>
    <t>F1</t>
  </si>
  <si>
    <t>F2</t>
  </si>
  <si>
    <t>F3</t>
  </si>
  <si>
    <t>F5</t>
  </si>
  <si>
    <t>F8</t>
  </si>
  <si>
    <t>F10</t>
  </si>
  <si>
    <t>F11</t>
  </si>
  <si>
    <t>F13</t>
  </si>
  <si>
    <t>F19</t>
  </si>
  <si>
    <t>F21</t>
  </si>
  <si>
    <t>F24</t>
  </si>
  <si>
    <t>F29</t>
  </si>
  <si>
    <t>F33</t>
  </si>
  <si>
    <t>F34</t>
  </si>
  <si>
    <t>F35</t>
  </si>
  <si>
    <t>F39</t>
  </si>
  <si>
    <t>F42</t>
  </si>
  <si>
    <t>F47</t>
  </si>
  <si>
    <t>F48</t>
  </si>
  <si>
    <t>F49</t>
  </si>
  <si>
    <t>F50</t>
  </si>
  <si>
    <t>F52</t>
  </si>
  <si>
    <t>F54</t>
  </si>
  <si>
    <t>F55</t>
  </si>
  <si>
    <t>F56</t>
  </si>
  <si>
    <t>F57</t>
  </si>
  <si>
    <t>F58</t>
  </si>
  <si>
    <t>F59</t>
  </si>
  <si>
    <t>F60</t>
  </si>
  <si>
    <t>F61</t>
  </si>
  <si>
    <t>F67</t>
  </si>
  <si>
    <t>F71</t>
  </si>
  <si>
    <t>F75</t>
  </si>
  <si>
    <t>F77</t>
  </si>
  <si>
    <t>F79</t>
  </si>
  <si>
    <t>F80</t>
  </si>
  <si>
    <t>F82</t>
  </si>
  <si>
    <t>F83</t>
  </si>
  <si>
    <t>F84</t>
  </si>
  <si>
    <t>F85</t>
  </si>
  <si>
    <t>F86</t>
  </si>
  <si>
    <t>F88</t>
  </si>
  <si>
    <t>F90</t>
  </si>
  <si>
    <t>F92</t>
  </si>
  <si>
    <t>F95</t>
  </si>
  <si>
    <t>F96</t>
  </si>
  <si>
    <t>F97</t>
  </si>
  <si>
    <t>F100</t>
  </si>
  <si>
    <t>F101</t>
  </si>
  <si>
    <t>F102</t>
  </si>
  <si>
    <t>F105</t>
  </si>
  <si>
    <t>F107</t>
  </si>
  <si>
    <t>F109</t>
  </si>
  <si>
    <t>F110</t>
  </si>
  <si>
    <t>F111</t>
  </si>
  <si>
    <t>F112</t>
  </si>
  <si>
    <t>F116</t>
  </si>
  <si>
    <t>F117</t>
  </si>
  <si>
    <t>F118</t>
  </si>
  <si>
    <t>F120</t>
  </si>
  <si>
    <t>F121</t>
  </si>
  <si>
    <t>F122</t>
  </si>
  <si>
    <t>F123</t>
  </si>
  <si>
    <t>F127</t>
  </si>
  <si>
    <t>F129</t>
  </si>
  <si>
    <t>F130</t>
  </si>
  <si>
    <t>F132</t>
  </si>
  <si>
    <t>F133</t>
  </si>
  <si>
    <t>F137</t>
  </si>
  <si>
    <t>F138</t>
  </si>
  <si>
    <t>F141</t>
  </si>
  <si>
    <t>F142</t>
  </si>
  <si>
    <t>F144</t>
  </si>
  <si>
    <t>F146</t>
  </si>
  <si>
    <t>F149</t>
  </si>
  <si>
    <t>F151</t>
  </si>
  <si>
    <t>F152</t>
  </si>
  <si>
    <t>F153</t>
  </si>
  <si>
    <t>F154</t>
  </si>
  <si>
    <t>F157</t>
  </si>
  <si>
    <t>F159</t>
  </si>
  <si>
    <t>F160</t>
  </si>
  <si>
    <t>F161</t>
  </si>
  <si>
    <t>F162</t>
  </si>
  <si>
    <t>F167</t>
  </si>
  <si>
    <t>F169</t>
  </si>
  <si>
    <t>F170</t>
  </si>
  <si>
    <t>F172</t>
  </si>
  <si>
    <t>F175</t>
  </si>
  <si>
    <t>F179</t>
  </si>
  <si>
    <t>F180</t>
  </si>
  <si>
    <t>F184</t>
  </si>
  <si>
    <t>F185</t>
  </si>
  <si>
    <t>F187</t>
  </si>
  <si>
    <t>F188</t>
  </si>
  <si>
    <t>F194</t>
  </si>
  <si>
    <t>F195</t>
  </si>
  <si>
    <t>F196</t>
  </si>
  <si>
    <t>F197</t>
  </si>
  <si>
    <t>F200</t>
  </si>
  <si>
    <t>F201</t>
  </si>
  <si>
    <t>F205</t>
  </si>
  <si>
    <t>F206</t>
  </si>
  <si>
    <t>F208</t>
  </si>
  <si>
    <t>F210</t>
  </si>
  <si>
    <t>F212</t>
  </si>
  <si>
    <t>F213</t>
  </si>
  <si>
    <t>F216</t>
  </si>
  <si>
    <t>F221</t>
  </si>
  <si>
    <t>F224</t>
  </si>
  <si>
    <t>F226</t>
  </si>
  <si>
    <t>F228</t>
  </si>
  <si>
    <t>F229</t>
  </si>
  <si>
    <t>F230</t>
  </si>
  <si>
    <t>F234</t>
  </si>
  <si>
    <t>F240</t>
  </si>
  <si>
    <t>F241</t>
  </si>
  <si>
    <t>F244</t>
  </si>
  <si>
    <t>F245</t>
  </si>
  <si>
    <t>F249</t>
  </si>
  <si>
    <t>F251</t>
  </si>
  <si>
    <t>F252</t>
  </si>
  <si>
    <t>F255</t>
  </si>
  <si>
    <t>F258</t>
  </si>
  <si>
    <t>F266</t>
  </si>
  <si>
    <t>F267</t>
  </si>
  <si>
    <t>F268</t>
  </si>
  <si>
    <t>F269</t>
  </si>
  <si>
    <t>F270</t>
  </si>
  <si>
    <t>F271</t>
  </si>
  <si>
    <t>F272</t>
  </si>
  <si>
    <t>F273</t>
  </si>
  <si>
    <t>F276</t>
  </si>
  <si>
    <t>F277</t>
  </si>
  <si>
    <t>F278</t>
  </si>
  <si>
    <t>F279</t>
  </si>
  <si>
    <t>F281</t>
  </si>
  <si>
    <t>F282</t>
  </si>
  <si>
    <t>F288</t>
  </si>
  <si>
    <t>F294</t>
  </si>
  <si>
    <t>F295</t>
  </si>
  <si>
    <t>F299</t>
  </si>
  <si>
    <t>F301</t>
  </si>
  <si>
    <t>F306</t>
  </si>
  <si>
    <t>F308</t>
  </si>
  <si>
    <t>F309</t>
  </si>
  <si>
    <t>F311</t>
  </si>
  <si>
    <t>F312</t>
  </si>
  <si>
    <t>F315</t>
  </si>
  <si>
    <t>F317</t>
  </si>
  <si>
    <t>F321</t>
  </si>
  <si>
    <t>F322</t>
  </si>
  <si>
    <t>F323</t>
  </si>
  <si>
    <t>F327</t>
  </si>
  <si>
    <t>F334</t>
  </si>
  <si>
    <t>F336</t>
  </si>
  <si>
    <t>F337</t>
  </si>
  <si>
    <t>F338</t>
  </si>
  <si>
    <t>F339</t>
  </si>
  <si>
    <t>F340</t>
  </si>
  <si>
    <t>F341</t>
  </si>
  <si>
    <t>F343</t>
  </si>
  <si>
    <t>F346</t>
  </si>
  <si>
    <t>F347</t>
  </si>
  <si>
    <t>F350</t>
  </si>
  <si>
    <t>F351</t>
  </si>
  <si>
    <t>F352</t>
  </si>
  <si>
    <t>F353</t>
  </si>
  <si>
    <t>F359</t>
  </si>
  <si>
    <t>F363</t>
  </si>
  <si>
    <t>F366</t>
  </si>
  <si>
    <t>F375</t>
  </si>
  <si>
    <t>F380</t>
  </si>
  <si>
    <t>F382</t>
  </si>
  <si>
    <t>F385</t>
  </si>
  <si>
    <t>F386</t>
  </si>
  <si>
    <t>F387</t>
  </si>
  <si>
    <t>F388</t>
  </si>
  <si>
    <t>F389</t>
  </si>
  <si>
    <t>F390</t>
  </si>
  <si>
    <t>F391</t>
  </si>
  <si>
    <t>F395</t>
  </si>
  <si>
    <t>F396</t>
  </si>
  <si>
    <t>F397</t>
  </si>
  <si>
    <t>F398</t>
  </si>
  <si>
    <t>F399</t>
  </si>
  <si>
    <t>F402</t>
  </si>
  <si>
    <t>F403</t>
  </si>
  <si>
    <t>F404</t>
  </si>
  <si>
    <t>F405</t>
  </si>
  <si>
    <t>F408</t>
  </si>
  <si>
    <t>F409</t>
  </si>
  <si>
    <t>F411</t>
  </si>
  <si>
    <t>F412</t>
  </si>
  <si>
    <t>F415</t>
  </si>
  <si>
    <t>F416</t>
  </si>
  <si>
    <t>F417</t>
  </si>
  <si>
    <t>F419</t>
  </si>
  <si>
    <t>F420</t>
  </si>
  <si>
    <t>F421</t>
  </si>
  <si>
    <t>F422</t>
  </si>
  <si>
    <t>F423</t>
  </si>
  <si>
    <t>F424</t>
  </si>
  <si>
    <t>F425</t>
  </si>
  <si>
    <t>F428</t>
  </si>
  <si>
    <t>F430</t>
  </si>
  <si>
    <t>F431</t>
  </si>
  <si>
    <t>F432</t>
  </si>
  <si>
    <t>F433</t>
  </si>
  <si>
    <t>F443</t>
  </si>
  <si>
    <t>F444</t>
  </si>
  <si>
    <t>F445</t>
  </si>
  <si>
    <t>2-ТВЕРСКАЯ-ЯМСКАЯ-18  Т/ЗАЛ</t>
  </si>
  <si>
    <t>2 Тверская-Ямская ул., д.18</t>
  </si>
  <si>
    <t>Москва, 2 Тверская-Ямская ул., д.18</t>
  </si>
  <si>
    <t>РАБОЧАЯ-38            Т/ЗАЛ</t>
  </si>
  <si>
    <t>ул.Рабочая, д.38</t>
  </si>
  <si>
    <t>Москва, ул.Рабочая, д.38</t>
  </si>
  <si>
    <t>F447</t>
  </si>
  <si>
    <t>КОТЕЛЬНИКИ_ПАРКОВЫЙ_МКР-2</t>
  </si>
  <si>
    <t xml:space="preserve"> мкр. Парковый, д. 2, к. 1</t>
  </si>
  <si>
    <t>ФИЛЕВСКИЙ_Б-Р-10      Т/ЗАЛ</t>
  </si>
  <si>
    <t>Москва, Филевский бульвар, д.10</t>
  </si>
  <si>
    <t>F450</t>
  </si>
  <si>
    <t>Котельники, мкр. Парковый, д. 2, кор. 1</t>
  </si>
  <si>
    <t>ШЕЛЕПИХИНСКАЯ_НАБ-34 Т/ЗАЛ</t>
  </si>
  <si>
    <t>Шелепихинская наб., д.34, кор.4</t>
  </si>
  <si>
    <t>Москва, Шелепихинская наб., д.34, кор.4</t>
  </si>
  <si>
    <t>F452</t>
  </si>
  <si>
    <t>Москва, ул. Хромова, д.3</t>
  </si>
  <si>
    <t>ХРОМОВА-3       Т/ЗАЛ</t>
  </si>
  <si>
    <t>ПИЛЮГИНА-18       Т/ЗАЛ</t>
  </si>
  <si>
    <t>Академика Пилюгина ул., д.18</t>
  </si>
  <si>
    <t>Москва, Академика Пилюгина ул., д.18</t>
  </si>
  <si>
    <t>F458</t>
  </si>
  <si>
    <t>F459</t>
  </si>
  <si>
    <t>ам регион Рузино_Кутузовский-3</t>
  </si>
  <si>
    <t>д.Рузино, мкр.Кутузовский, д.3, кор.1</t>
  </si>
  <si>
    <t>F460</t>
  </si>
  <si>
    <t>БЕРЕГОВОЙ_ПР_Д-1А     Т/ЗАЛ</t>
  </si>
  <si>
    <t>Береговой проезд, д.1А</t>
  </si>
  <si>
    <t>Москва, Береговой проезд, д.1А</t>
  </si>
  <si>
    <t>F463</t>
  </si>
  <si>
    <t>УДАЛЬЦОВА-85Б         Т/ЗАЛ</t>
  </si>
  <si>
    <t>Удальцова ул., д.85Б</t>
  </si>
  <si>
    <t>Москва, Удальцова ул., д.85Б</t>
  </si>
  <si>
    <t>ЛЕНИНСКИЙ_ПР-99       Т/ЗАЛ</t>
  </si>
  <si>
    <t>ЕНИСЕЙСКАЯ-17/1       Т/ЗАЛ</t>
  </si>
  <si>
    <t>МОСКВА, ПРЕЧИСТЕНКА УЛ., Д.16</t>
  </si>
  <si>
    <t>F468</t>
  </si>
  <si>
    <t>АМ РЕГИОН ОДИНЦОВО_УСПЕНСКОЕ-3  Т/ЗАЛ</t>
  </si>
  <si>
    <t>пос. д/о "Успенское", тер. Вл 3, стр. 1/2</t>
  </si>
  <si>
    <t>F469</t>
  </si>
  <si>
    <t>ФИТАРЕВСКАЯ-6         Т/ЗАЛ</t>
  </si>
  <si>
    <t>Сосенское,Коммунарка,Фитаревская ул., д.6</t>
  </si>
  <si>
    <t>улица Фитаревская, д.6, посёлок Коммунарка, Москва</t>
  </si>
  <si>
    <t>КРЖИЖАНОВСКОГО-14     Т/ЗАЛ</t>
  </si>
  <si>
    <t xml:space="preserve">Кржижановского ул., д.14, кор.1 </t>
  </si>
  <si>
    <t>Москва, Кржижановского ул., д.14, кор.1</t>
  </si>
  <si>
    <t>ВНИИССОК_КУТУЗОВА-1</t>
  </si>
  <si>
    <t xml:space="preserve"> пос.ВНИИССОК, ул.М.Кутузова, д.1</t>
  </si>
  <si>
    <t>Одинцовский г.о, пос.ВНИИССОК, ул.М.Кутузова, д.1</t>
  </si>
  <si>
    <t>ЧИСТОПРУДНЫЙ_Б_Р-9    Т/ЗАЛ</t>
  </si>
  <si>
    <t>Чистопрудный бульвар, д.9, к.1</t>
  </si>
  <si>
    <t>Москва, Чистопрудный бульвар, д.9 к.1</t>
  </si>
  <si>
    <t>ИСТРИНСКАЯ-10         Т/ЗАЛ</t>
  </si>
  <si>
    <t>Истринская ул., д.10 , кор.1</t>
  </si>
  <si>
    <t>Москва, Истринская ул., д.10 , кор.1</t>
  </si>
  <si>
    <t>F475</t>
  </si>
  <si>
    <t>г.о. Химки, д.Рузино, мкр.Кутузовский, д.3, кор.1</t>
  </si>
  <si>
    <t xml:space="preserve"> г.о.Химки</t>
  </si>
  <si>
    <t>Москва, Дмитровское ш., д.64, кор.1</t>
  </si>
  <si>
    <t>Дмитровское ш.,д.64, кор.1</t>
  </si>
  <si>
    <t>МОСФИЛЬМОВСКАЯ-98  Т/ЗАЛ</t>
  </si>
  <si>
    <t>ВИДНОЕ_ПРИГОРОДНОЕ_Ш-7</t>
  </si>
  <si>
    <t>дер.Мисайлово, ш.Пригородное, д.7</t>
  </si>
  <si>
    <t>Мос.обл., дер.Мисайлово, Пригородное ш., д.7</t>
  </si>
  <si>
    <t>Балашиха, г. Балашиха, просп. Ленина, 23/5</t>
  </si>
  <si>
    <t>Химки, ул. Московская, 22/1, кор.1</t>
  </si>
  <si>
    <t>ПЯТНИЦКАЯ-11/23       Т/ЗАЛ</t>
  </si>
  <si>
    <t>Пятницкая ул., д.11/23, кор.1</t>
  </si>
  <si>
    <t>Москва, Пятницкая ул., д.11/23, кор.1</t>
  </si>
  <si>
    <t>Апрелевка, Ясная ул., д.1</t>
  </si>
  <si>
    <t>Апрелевка_Ясная-1           ам-долгопрудный</t>
  </si>
  <si>
    <t>Ясная ул., д.1</t>
  </si>
  <si>
    <t>F480</t>
  </si>
  <si>
    <t>Рейс</t>
  </si>
  <si>
    <t>порядок</t>
  </si>
  <si>
    <t>Тип совместимости с другими заказами</t>
  </si>
  <si>
    <t>load_types</t>
  </si>
  <si>
    <t>МЫТНАЯ-62             Т/ЗАЛ</t>
  </si>
  <si>
    <t>КОРОЛЕВ_ПИОНЕРСКАЯ-13</t>
  </si>
  <si>
    <t>ул. Пионерская, д.13, кор.5</t>
  </si>
  <si>
    <t>Королев, Пионерская ул., д.13, кор.5</t>
  </si>
  <si>
    <t>Москва, Ярцевская ул., д.4</t>
  </si>
  <si>
    <t>Ярцевская ул. д.4</t>
  </si>
  <si>
    <t>F482</t>
  </si>
  <si>
    <t>ТУРИСТСКАЯ-27         Т/ЗАЛ</t>
  </si>
  <si>
    <t>Туристская, д.27, кор.1</t>
  </si>
  <si>
    <t>Москва, Туристская, д.27, кор.1</t>
  </si>
  <si>
    <t>F483</t>
  </si>
  <si>
    <t>Одинцовский г.о., пос. д/о "Успенское", тер. Вл 3, стр. 1/2</t>
  </si>
  <si>
    <t>АМ РЕГИОН ИЛЬИНСКОЕ_ЗАПОВЕДНАЯ-10</t>
  </si>
  <si>
    <t>Московская Область, г.о. Красногорск, п. Ильинское-Усово, ул.Заповедная,д.10</t>
  </si>
  <si>
    <t>п.Ильинское-Усово,ул.Заповедная, д.10</t>
  </si>
  <si>
    <t>F484</t>
  </si>
  <si>
    <t>РАЗДОРЫ_ЛИПОВОЙ_РОЩИ-6      АМ-ДОЛГОПРУДНЫЙ</t>
  </si>
  <si>
    <t>д.Раздоры, Липовой Рощи ул., д.6, кор.1</t>
  </si>
  <si>
    <r>
      <t>Временное окно</t>
    </r>
    <r>
      <rPr>
        <b/>
        <sz val="10"/>
        <color indexed="10"/>
        <rFont val="Arial"/>
        <family val="2"/>
        <charset val="204"/>
      </rPr>
      <t xml:space="preserve"> *</t>
    </r>
  </si>
  <si>
    <r>
      <t>Время обслуживания</t>
    </r>
    <r>
      <rPr>
        <b/>
        <sz val="10"/>
        <color indexed="10"/>
        <rFont val="Arial"/>
        <family val="2"/>
        <charset val="204"/>
      </rPr>
      <t xml:space="preserve"> *</t>
    </r>
  </si>
  <si>
    <t>г.Видное</t>
  </si>
  <si>
    <t>МОСКОВСКИЙ_КНОРРЕ-7   Т/ЗАЛ</t>
  </si>
  <si>
    <t>Инженера Кнорре ул.,д.7, кор.1</t>
  </si>
  <si>
    <t xml:space="preserve"> пос.Московский,Инженера Кнорре ул.,д.7, кор.1</t>
  </si>
  <si>
    <t>Б_ФИЛЕВСКАЯ-3         Т/ЗАЛ</t>
  </si>
  <si>
    <t>ул.Большая Филевская, д.3, кор.4</t>
  </si>
  <si>
    <t>Москва, ул.Большая Филевская, д.3, кор.4</t>
  </si>
  <si>
    <t>Б_ПАСТЕРНАКА-6        Т/ЗАЛ</t>
  </si>
  <si>
    <t>Москва, пос. Внуковское, улица Бориса Пастернака, д. 6</t>
  </si>
  <si>
    <t>F487</t>
  </si>
  <si>
    <t>F488</t>
  </si>
  <si>
    <t>Москва, Б.Грузинская ул., д.37</t>
  </si>
  <si>
    <t>Дрожжино раб.пос., Новое ш., д.2, кор.2</t>
  </si>
  <si>
    <t>Ленинский г.о., Дрожжино раб.пос., Новое ш., д.2, кор.2</t>
  </si>
  <si>
    <t>F490</t>
  </si>
  <si>
    <t>улица Липовой Рощи, 6к1, Красногорск, Московская область</t>
  </si>
  <si>
    <t>ДРОЖЖИНО_НОВОЕ_Ш-2</t>
  </si>
  <si>
    <t>время подачи а/м</t>
  </si>
  <si>
    <t>время прибытия в маг</t>
  </si>
  <si>
    <t>Маршрут</t>
  </si>
  <si>
    <t>F493</t>
  </si>
  <si>
    <t>F494</t>
  </si>
  <si>
    <t>ДОМОДЕДОВО_КОРНЕЕВА-1</t>
  </si>
  <si>
    <t>Домодедово, ул.Корнеева, д.1</t>
  </si>
  <si>
    <t>Корнеева ул. д.1</t>
  </si>
  <si>
    <t>F497</t>
  </si>
  <si>
    <t>ул.Академика Павлова, д.38, кор.1</t>
  </si>
  <si>
    <t>Москва, ул.Академика Павлова, д.38, кор.1</t>
  </si>
  <si>
    <t>АКАДЕМИКА_ПАВЛОВА-38  Т/ЗАЛ</t>
  </si>
  <si>
    <t>ШИШКИН_ЛЕС-15А        Т/ЗАЛ</t>
  </si>
  <si>
    <t>Москва, посёлок Шишкин Лес, 15А, поселение Михайлово-Ярцевское</t>
  </si>
  <si>
    <t>ДРОЖЖИНО_ЮЖНАЯ-11</t>
  </si>
  <si>
    <t>F501</t>
  </si>
  <si>
    <t>Московская Область, Ленинский г.о., раб.пос. Дрожжино, ул.Южная, д.11, кор.4</t>
  </si>
  <si>
    <t>Дрожжино раб.пос., Южная ул., д.11</t>
  </si>
  <si>
    <t>F503</t>
  </si>
  <si>
    <t>F505</t>
  </si>
  <si>
    <t>ПРЕЧИСТЕНКА-31/16     Т/ЗАЛ</t>
  </si>
  <si>
    <t>F507</t>
  </si>
  <si>
    <t>ЗЕЛЕНОГРАД_КРЮКОВСКАЯ-1 Т/ЗАЛ</t>
  </si>
  <si>
    <t>Крюковская пл., д.1</t>
  </si>
  <si>
    <t>Зеленоград, Крюковская пл., д.1</t>
  </si>
  <si>
    <t>F508</t>
  </si>
  <si>
    <t>F509</t>
  </si>
  <si>
    <t>СОСЕНСКОЕ_М_ПОНИЗОВЬЕ-10  Т/ЗАЛ</t>
  </si>
  <si>
    <t>МАРГЕЛОВА-3           Т/ЗАЛ</t>
  </si>
  <si>
    <t>Маргелова, д.3, кор.2</t>
  </si>
  <si>
    <t>Москва, Маргелова, д.3, кор.2</t>
  </si>
  <si>
    <t>F510</t>
  </si>
  <si>
    <t>F511</t>
  </si>
  <si>
    <t>ВНИИССОК_БЕРЕЗОВАЯ-4</t>
  </si>
  <si>
    <t xml:space="preserve"> пос.ВНИИССОК, ул.Березовая, д.4</t>
  </si>
  <si>
    <t>Одинцовский г.о, пос.ВНИИССОК, ул.Березовая, д.4</t>
  </si>
  <si>
    <t>F516</t>
  </si>
  <si>
    <t>За недоставку</t>
  </si>
  <si>
    <t>penalty.drop</t>
  </si>
  <si>
    <t>Штраф</t>
  </si>
  <si>
    <t>F517</t>
  </si>
  <si>
    <t>Привязка к складу</t>
  </si>
  <si>
    <t>depot_id</t>
  </si>
  <si>
    <t>8П, 2Г</t>
  </si>
  <si>
    <t>F518</t>
  </si>
  <si>
    <t>F520</t>
  </si>
  <si>
    <t>телефон</t>
  </si>
  <si>
    <t>phone</t>
  </si>
  <si>
    <t>МЫТИЩИ_1_СТРЕЛКОВЫЙ-3</t>
  </si>
  <si>
    <t>Московская Область, г.о. Мытищи, г. Мытищи, 1-й Стрелковый пер.,д.3</t>
  </si>
  <si>
    <t>1й Стрелковый пер., д.3</t>
  </si>
  <si>
    <t>F524</t>
  </si>
  <si>
    <t>Москва,ул.Кольская, д.8, кор.2</t>
  </si>
  <si>
    <t>Кольская ул., д.8, кор.2</t>
  </si>
  <si>
    <t>КОЛЬСКАЯ-8            Т/ЗАЛ</t>
  </si>
  <si>
    <t>F525</t>
  </si>
  <si>
    <t>F526</t>
  </si>
  <si>
    <t>АМ РЕГИОН РОМАШКОВО_ЕВРОПЕЙСКИЙ-4 Т/ЗАЛ</t>
  </si>
  <si>
    <t xml:space="preserve"> с.Ромашково, Европейский бул., д.4</t>
  </si>
  <si>
    <t>Европейский бульвар, 4, село Ромашково, Одинцовский городской округ, Московская область</t>
  </si>
  <si>
    <t>Озерная ул, д.44</t>
  </si>
  <si>
    <t>Москва, Озерная ул., д.44</t>
  </si>
  <si>
    <t>ОЗЕРНАЯ-44            Т/ЗАЛ</t>
  </si>
  <si>
    <t>F528</t>
  </si>
  <si>
    <t>F530</t>
  </si>
  <si>
    <t>АМ РЕГИОН КРАСНОГОРСК_Н_ПОСЕЛОК-9</t>
  </si>
  <si>
    <t xml:space="preserve"> д.Бузланово, ул.Новый Поселок,д.9</t>
  </si>
  <si>
    <t>улица Новый Посёлок, 9, деревня Бузланово, городской округ Красногорск, Московская область</t>
  </si>
  <si>
    <t>F532</t>
  </si>
  <si>
    <t>F533</t>
  </si>
  <si>
    <t>F540</t>
  </si>
  <si>
    <t>д.Сабурово, 53Б</t>
  </si>
  <si>
    <t>F542</t>
  </si>
  <si>
    <t>г.о. Красногорск,  д.Сабурово, 53Б</t>
  </si>
  <si>
    <t>АМ РЕГИОН КРАСНОГОРСК_САБУРОВО-53Б</t>
  </si>
  <si>
    <t>Широта</t>
  </si>
  <si>
    <t>Долгота</t>
  </si>
  <si>
    <t>38.202258</t>
  </si>
  <si>
    <t>55.573868</t>
  </si>
  <si>
    <t>Высоковольтная улица, 22, Раменское, Московская область, 140104</t>
  </si>
  <si>
    <t>56.735765</t>
  </si>
  <si>
    <t>37.161515</t>
  </si>
  <si>
    <t>56.728055</t>
  </si>
  <si>
    <t>37.141523</t>
  </si>
  <si>
    <t>55.580789</t>
  </si>
  <si>
    <t>38.212758</t>
  </si>
  <si>
    <t>55.835658</t>
  </si>
  <si>
    <t>37.317243</t>
  </si>
  <si>
    <t>55.531875</t>
  </si>
  <si>
    <t>37.721883</t>
  </si>
  <si>
    <t>55.764607</t>
  </si>
  <si>
    <t>37.600720</t>
  </si>
  <si>
    <t>55.867223</t>
  </si>
  <si>
    <t>37.482592</t>
  </si>
  <si>
    <t>55.584115</t>
  </si>
  <si>
    <t>37.676394</t>
  </si>
  <si>
    <t>55.817321</t>
  </si>
  <si>
    <t>37.499991</t>
  </si>
  <si>
    <t>55.765475</t>
  </si>
  <si>
    <t>37.639218</t>
  </si>
  <si>
    <t>55.747416</t>
  </si>
  <si>
    <t>37.588359</t>
  </si>
  <si>
    <t xml:space="preserve"> 37.648948</t>
  </si>
  <si>
    <t>55.760243</t>
  </si>
  <si>
    <t>55.601234</t>
  </si>
  <si>
    <t>37.411378</t>
  </si>
  <si>
    <t>55.856924</t>
  </si>
  <si>
    <t>37.686116</t>
  </si>
  <si>
    <t>55.869418</t>
  </si>
  <si>
    <t>37.473360</t>
  </si>
  <si>
    <t>55.683986</t>
  </si>
  <si>
    <t>37.698121</t>
  </si>
  <si>
    <t>55.944671</t>
  </si>
  <si>
    <t>37.306218</t>
  </si>
  <si>
    <t>55.892058</t>
  </si>
  <si>
    <t>37.446737</t>
  </si>
  <si>
    <t>55.769339</t>
  </si>
  <si>
    <t>37.246547</t>
  </si>
  <si>
    <t>F543</t>
  </si>
  <si>
    <t>F545</t>
  </si>
  <si>
    <t>М Рокоссовского бр, д.39, кор.1</t>
  </si>
  <si>
    <t>рп.Лопатино, Солнечный бр, д. 10</t>
  </si>
  <si>
    <t>Красково, Егорьевское ш., д.1, кор.1</t>
  </si>
  <si>
    <t>мкр.Саввино,Спасский б-р д.1</t>
  </si>
  <si>
    <t>просп. Ленина, 23/5</t>
  </si>
  <si>
    <t>Первомайский пр-д 1</t>
  </si>
  <si>
    <t>ул.Талсинская, д.4а</t>
  </si>
  <si>
    <t>ул.Маршала Рыбалко. 3</t>
  </si>
  <si>
    <t>мкр Западный, ул.Лунная, д.33</t>
  </si>
  <si>
    <t>Ленинский проспект. 41 корп 2</t>
  </si>
  <si>
    <t xml:space="preserve">Ленинградский пр-т. 9 </t>
  </si>
  <si>
    <t>Ленинградский пр-т. 69,с1</t>
  </si>
  <si>
    <t>1-ый Хорошевский пр. 14 к.1</t>
  </si>
  <si>
    <t>Маршала Жукова пркт 30</t>
  </si>
  <si>
    <t>ул.Гиляровского 60 к.1</t>
  </si>
  <si>
    <t>Филевский бр.,10</t>
  </si>
  <si>
    <t>Бережковская наб. д.8</t>
  </si>
  <si>
    <t>ул. Новый Арбат ., д.31, к.12</t>
  </si>
  <si>
    <t>ул. Пречистенка., д.16</t>
  </si>
  <si>
    <t>Плотников пер. 20 к.№ 21</t>
  </si>
  <si>
    <t>Б.Палашевский пер. 14 к 7/5</t>
  </si>
  <si>
    <t>ул.Верхняя Красносельская, 10</t>
  </si>
  <si>
    <t>Б.Спасоглинищевский пер.9/1</t>
  </si>
  <si>
    <t xml:space="preserve">ул.Автозаводская, 8 </t>
  </si>
  <si>
    <t>ул. Большая Полянка, д. 30</t>
  </si>
  <si>
    <t>Воротниковский пер, д.5/9</t>
  </si>
  <si>
    <t>Измайловский бр, д. 11/31</t>
  </si>
  <si>
    <t>ул.Хромова, д.3</t>
  </si>
  <si>
    <t>ул. Ленинская, д.11А</t>
  </si>
  <si>
    <t>Яна Райниса бр, д. 2, к. 1</t>
  </si>
  <si>
    <t>Строгинский бр., 21</t>
  </si>
  <si>
    <t>Дмитрия Донского бр, д.16</t>
  </si>
  <si>
    <t>ул. Генерала Кузнецова, д.14, кор.1</t>
  </si>
  <si>
    <t>F546</t>
  </si>
  <si>
    <t>F547</t>
  </si>
  <si>
    <t>F548</t>
  </si>
  <si>
    <t>F549</t>
  </si>
  <si>
    <t>F550</t>
  </si>
  <si>
    <t>Ленинский проспект, д.99</t>
  </si>
  <si>
    <t>Москва, Ленинский проспект, д.99</t>
  </si>
  <si>
    <t>д.Бережки,Каскад Парк, д.51</t>
  </si>
  <si>
    <t>п.Внуковское,Бориса Пастернака, д. 6</t>
  </si>
  <si>
    <t>Реутов, ул.Реутовских ополченцев,д.4</t>
  </si>
  <si>
    <t>Реутовских ополченцев ул., д.4</t>
  </si>
  <si>
    <t>РЕУТОВ_РЕУТОВСКИХ_ОПОЛЧЕНЦЕВ-4</t>
  </si>
  <si>
    <t>F556</t>
  </si>
  <si>
    <t>Сравнение запланир времени и времени открытия маг</t>
  </si>
  <si>
    <t>F557</t>
  </si>
  <si>
    <t>г.о. Красногорск, пос. Ильинское-Усово, ул. Архангельская, д.11</t>
  </si>
  <si>
    <t>п.Ильинское-Усово,ул.Архангельская, д.11</t>
  </si>
  <si>
    <t>АМ РЕГИОН ИЛЬИНСКОЕ_АРХАНГЕЛЬСКАЯ-11</t>
  </si>
  <si>
    <t>начало приёмки</t>
  </si>
  <si>
    <t>конец приёмки</t>
  </si>
  <si>
    <t>F563</t>
  </si>
  <si>
    <t>F564</t>
  </si>
  <si>
    <t>F565</t>
  </si>
  <si>
    <t>F566</t>
  </si>
  <si>
    <t>РУСТАВЕЛИ-14         Т/ЗАЛ</t>
  </si>
  <si>
    <t>Руставели ул., д.14</t>
  </si>
  <si>
    <t>Бутырский вал ул., 4</t>
  </si>
  <si>
    <t>Селезневская ул., д.4</t>
  </si>
  <si>
    <t>Чаянова ул., д.12</t>
  </si>
  <si>
    <t>Грузинский вал ул., д.18/15</t>
  </si>
  <si>
    <t>Москва, ул. Руставели, д.14</t>
  </si>
  <si>
    <r>
      <t xml:space="preserve">8П, </t>
    </r>
    <r>
      <rPr>
        <b/>
        <sz val="10"/>
        <color rgb="FFFF0000"/>
        <rFont val="Arial"/>
        <family val="2"/>
        <charset val="204"/>
      </rPr>
      <t>ПРЕСН_НАБ</t>
    </r>
  </si>
  <si>
    <t>F570</t>
  </si>
  <si>
    <t>F571</t>
  </si>
  <si>
    <t>F573</t>
  </si>
  <si>
    <t>скл305</t>
  </si>
  <si>
    <t>Москва, Новомосковский административный округ, район Коммунарка, улица Малое Понизовье, 10</t>
  </si>
  <si>
    <t>р-н Коммунарка, ул.Малое Понизовье, д.10</t>
  </si>
  <si>
    <t>F575</t>
  </si>
  <si>
    <t>РОКОССОВСКОГО_М-7    Т/ЗАЛ</t>
  </si>
  <si>
    <t>М Рокоссовского бр, д.7</t>
  </si>
  <si>
    <t>Москва, Рокоссовского маршала бульв., д.7</t>
  </si>
  <si>
    <t>F576</t>
  </si>
  <si>
    <t>F577</t>
  </si>
  <si>
    <t>Ленинградское ш., д.58, стр.26</t>
  </si>
  <si>
    <t>Москва, Ленинградское ш., д.58, стр.26</t>
  </si>
  <si>
    <t>ЛЕНИНГРАДСКОЕ_Ш-58   Т/ЗАЛ</t>
  </si>
  <si>
    <t>F578</t>
  </si>
  <si>
    <t>F579</t>
  </si>
  <si>
    <t>ЯБЛОЧКОВА-21Д        Т/ЗАЛ</t>
  </si>
  <si>
    <t>Яблочкова ул, вл.21Д</t>
  </si>
  <si>
    <t>Москва, Яблочкова ул, вл.21Д</t>
  </si>
  <si>
    <t>F581</t>
  </si>
  <si>
    <t>F582</t>
  </si>
  <si>
    <t>F583</t>
  </si>
  <si>
    <t>ДМИТРИЯ_ДОНСКОГО-1   Т/ЗАЛ</t>
  </si>
  <si>
    <t>Дмитрия Донского бр, д.1</t>
  </si>
  <si>
    <t>Москва, Бульвар Дмитрия Донского, д.1</t>
  </si>
  <si>
    <t>F584</t>
  </si>
  <si>
    <t>F585</t>
  </si>
  <si>
    <t>F586</t>
  </si>
  <si>
    <t>F587</t>
  </si>
  <si>
    <t>F588</t>
  </si>
  <si>
    <t>Комсомольский пр-т, 11</t>
  </si>
  <si>
    <t>Москва, Комсомольский пр-т, д.11</t>
  </si>
  <si>
    <t>КОМСОМОЛЬСКИЙ_ПР-11  Т/ЗАЛ</t>
  </si>
  <si>
    <t>Москва, Фестивальная ул., д.41к1</t>
  </si>
  <si>
    <t>F590</t>
  </si>
  <si>
    <t>п/п</t>
  </si>
  <si>
    <t>Заказ номер</t>
  </si>
  <si>
    <t>Заказ дата</t>
  </si>
  <si>
    <t>Док-т подр.</t>
  </si>
  <si>
    <t>Док-т номер</t>
  </si>
  <si>
    <t>Док-т дата</t>
  </si>
  <si>
    <t>Брутто, кг</t>
  </si>
  <si>
    <t>Номер магазина</t>
  </si>
  <si>
    <t>Получатель код</t>
  </si>
  <si>
    <t>Получатель наименование</t>
  </si>
  <si>
    <t>Транспортная компания</t>
  </si>
  <si>
    <t>Марка автомобиля</t>
  </si>
  <si>
    <t>Гос.номер автомобиля</t>
  </si>
  <si>
    <t>F592</t>
  </si>
  <si>
    <t>Рейс номер</t>
  </si>
  <si>
    <t>Порядок точки</t>
  </si>
  <si>
    <t>Время загрузки</t>
  </si>
  <si>
    <t>Время прибытия в магазин</t>
  </si>
  <si>
    <t>ФИО водителя</t>
  </si>
  <si>
    <t>В/У водителя</t>
  </si>
  <si>
    <t>Телефон водителя</t>
  </si>
  <si>
    <t>Свид. Регистрации автомобиля</t>
  </si>
  <si>
    <t>Тип ТС</t>
  </si>
  <si>
    <t>Грузоподъемность ТС</t>
  </si>
  <si>
    <t>Тр.Компания</t>
  </si>
  <si>
    <t>ГрузоподъемностьТС</t>
  </si>
  <si>
    <t>F594</t>
  </si>
  <si>
    <t/>
  </si>
  <si>
    <t>Профсоюзная ул., д.152, к.1</t>
  </si>
  <si>
    <t>ПРОФСОЮЗНАЯ-152      Т/ЗАЛ</t>
  </si>
  <si>
    <t>Москва, Профсоюзная ул., д.152, к.1</t>
  </si>
  <si>
    <t>F596</t>
  </si>
  <si>
    <t>АМ РЕГИОН КРАСНОГОРСК_ПАВШИНСКИЙ-17 Т/ЗАЛ</t>
  </si>
  <si>
    <t>Павшинский бул., д.17</t>
  </si>
  <si>
    <t>Красногорск, Павшинский бул., д.17</t>
  </si>
  <si>
    <t>F597</t>
  </si>
  <si>
    <t>F598</t>
  </si>
  <si>
    <t>ЛЕНИНГРАДСКОЕ_Ш-8    Т/ЗАЛ</t>
  </si>
  <si>
    <t>08:00</t>
  </si>
  <si>
    <t>08:30</t>
  </si>
  <si>
    <t>09:00</t>
  </si>
  <si>
    <t>09:30</t>
  </si>
  <si>
    <t>19:00</t>
  </si>
  <si>
    <t>22:00</t>
  </si>
  <si>
    <t>ул.Чертановская, д.47, к.1</t>
  </si>
  <si>
    <t>Москва, Чертановская ул., д.47, к.1</t>
  </si>
  <si>
    <t>ЧЕРТАНОВСКАЯ-47      Т/ЗАЛ</t>
  </si>
  <si>
    <t>F601</t>
  </si>
  <si>
    <t>22:30</t>
  </si>
  <si>
    <t>ПОКРОВКА</t>
  </si>
  <si>
    <t xml:space="preserve"> 01-12</t>
  </si>
  <si>
    <t xml:space="preserve"> 30-11</t>
  </si>
  <si>
    <t xml:space="preserve"> 29-11</t>
  </si>
  <si>
    <t>ЛЕНИНГРАДСКИЙ_ПР_Т-62 Т/ЗАЛ</t>
  </si>
  <si>
    <t>F602</t>
  </si>
  <si>
    <t>Москва, Ленинградский просп., д.62</t>
  </si>
  <si>
    <t>Ленинградский просп., д.62</t>
  </si>
  <si>
    <t xml:space="preserve"> 17-12</t>
  </si>
  <si>
    <t xml:space="preserve"> 16-12</t>
  </si>
  <si>
    <t xml:space="preserve"> 15-12</t>
  </si>
  <si>
    <t xml:space="preserve"> 18-12</t>
  </si>
  <si>
    <t>БОБРОВО_ЛЕСНАЯ-24</t>
  </si>
  <si>
    <t>МИТИНСКАЯ-27А        Т/ЗАЛ</t>
  </si>
  <si>
    <t>ул. Митинская улица, д.27А</t>
  </si>
  <si>
    <t>Москва, ул. Митинская улица, д.27А</t>
  </si>
  <si>
    <t>F604</t>
  </si>
  <si>
    <t>КРАСНОГОРСК_КОСМОНАВТОВ-6   АМ-ДОЛГОПРУДНЫЙ</t>
  </si>
  <si>
    <t>Чикина ул., д.3А</t>
  </si>
  <si>
    <t>Одинцово, Чикина ул., д.3А</t>
  </si>
  <si>
    <t>ОДИНЦОВО_ЧИКИНА-3А</t>
  </si>
  <si>
    <t>F607</t>
  </si>
  <si>
    <t>тележка</t>
  </si>
  <si>
    <t>Экспедитор</t>
  </si>
  <si>
    <t>Ворота</t>
  </si>
  <si>
    <t>Довоз</t>
  </si>
  <si>
    <t>Возврат</t>
  </si>
  <si>
    <t>НОВОЧЕРКАССКИЙ-Б-Р-55</t>
  </si>
  <si>
    <t>БРАТИСЛАВСКАЯ-29К1</t>
  </si>
  <si>
    <t>БРАТИСЛАВСКАЯ-6</t>
  </si>
  <si>
    <t>ЛЮБЛИНСКАЯ-147</t>
  </si>
  <si>
    <t>КАШИРСКОЕ-Ш-65К1</t>
  </si>
  <si>
    <t>ЯСЕНЕВАЯ-12К1</t>
  </si>
  <si>
    <t>ВОРОНЕЖСКАЯ-7</t>
  </si>
  <si>
    <t>МИСАЙЛОВО-ПРИГОРОДНОЕ-Ш-7</t>
  </si>
  <si>
    <t>ПРОЛЕТАРСКИЙ-ПР-Т-27</t>
  </si>
  <si>
    <t>КАШИРСКОЕ-Ш-26К2</t>
  </si>
  <si>
    <t>БИРЮЛЕВСКАЯ-49</t>
  </si>
  <si>
    <t>1-НОВОКУЗЬМИНСКАЯ-27/12</t>
  </si>
  <si>
    <t>ГЕН-КУЗНЕЦОВА-14К1</t>
  </si>
  <si>
    <t>ЛЮБЕРЦЫ-КИРОВА-9К2</t>
  </si>
  <si>
    <t>ЛЮБЕРЦЫ-ЛЁТ-ЛАРЮШИНА-18</t>
  </si>
  <si>
    <t>РАМЕНСКОЕ-ВЫСОКОВОЛЬТНАЯ-22</t>
  </si>
  <si>
    <t>РАМЕНСКОЕ-СЕВЕРНОЕ-Ш-16А</t>
  </si>
  <si>
    <t>КОТЕЛЬНИКИ-СОСНОВАЯ-1К3</t>
  </si>
  <si>
    <t>НОВЫЕ-КОТЕЛЬНИКИ-16</t>
  </si>
  <si>
    <t>КОТЕЛЬНИКИ-БЕЛАЯ-ДАЧА-МКР-11К1</t>
  </si>
  <si>
    <t>КОТЕЛЬНИКИ-ПАРКОВЫЙ-МКР-2К1</t>
  </si>
  <si>
    <t>ЛЮБЕРЦЫ-МИРНЫЙ-ПОС-СВОБОДЫ-3</t>
  </si>
  <si>
    <t>ЧЕРТАНОВСКАЯ-47К</t>
  </si>
  <si>
    <t>ЧЕРТАНОВСКАЯ-1вК1</t>
  </si>
  <si>
    <t>АЗОВСКАЯ-24К2</t>
  </si>
  <si>
    <t>АК-ЯНГЕЛЯ-2</t>
  </si>
  <si>
    <t>ВАРШАВСКОЕ-Ш-141К11</t>
  </si>
  <si>
    <t>ВАРШАВСКОЕ-Ш-168</t>
  </si>
  <si>
    <t>ДМИТР-ДОНСКОГО-Б-Р-16</t>
  </si>
  <si>
    <t>ДМИТР-ДОНСКОГО-Б-Р-1</t>
  </si>
  <si>
    <t>ВИДНОЕ-РАДУЖНАЯ-2</t>
  </si>
  <si>
    <t>ДОМОДЕДОВО-ТВОРЧЕСТВА-1</t>
  </si>
  <si>
    <t>САПРОНОВО-ЦЕНТРАЛЬНЫЙ-КВ-Л-1</t>
  </si>
  <si>
    <t>ДРОЖЖИНО-ЮЖНАЯ-7</t>
  </si>
  <si>
    <t>ДРОЖЖИНО-ЮЖНАЯ-11</t>
  </si>
  <si>
    <t>ДРОЖЖИНО-НОВОЕ-Ш-2К2</t>
  </si>
  <si>
    <t>БОБРОВО-ЛЕСНАЯ-24</t>
  </si>
  <si>
    <t>БОБРОВО-КРЫМСКАЯ-7</t>
  </si>
  <si>
    <t>ЛОПАТИНО-СОЛНЕЧНЫЙ-Б-Р-10</t>
  </si>
  <si>
    <t>БЕРЕЖКИ-КАСКАД-ПАРК-51</t>
  </si>
  <si>
    <t>УНИВЕРСИТЕТСКИЙ-ПР-Т-23К1</t>
  </si>
  <si>
    <t>СТОЛЕТОВА-17</t>
  </si>
  <si>
    <t>СТРОИТЕЛЕЙ-11К1</t>
  </si>
  <si>
    <t>ЛЕНИНСКИЙ-ПР-Т-40</t>
  </si>
  <si>
    <t>ЕФРЕМОВА-21</t>
  </si>
  <si>
    <t>ЧАЯНОВА-12</t>
  </si>
  <si>
    <t>СЕЛЕЗНЕВСКАЯ-4</t>
  </si>
  <si>
    <t>РУСТАВЕЛИ-14</t>
  </si>
  <si>
    <t>ГРЕКОВА-22</t>
  </si>
  <si>
    <t>РОДНИКОВАЯ-9А</t>
  </si>
  <si>
    <t>ОСТРОВИТЯНОВА-13</t>
  </si>
  <si>
    <t>УДАЛЬЦОВА-85Б</t>
  </si>
  <si>
    <t>ВЕРНАДСКОГО-61</t>
  </si>
  <si>
    <t>ДОМОДЕДОВО-КНЕЕВА-1</t>
  </si>
  <si>
    <t>ПЛЮЩИХА-31</t>
  </si>
  <si>
    <t>МЫТНАЯ-62</t>
  </si>
  <si>
    <t>ХРОМОВА-3</t>
  </si>
  <si>
    <t>БАРКЛАЯ-7</t>
  </si>
  <si>
    <t>БАРКЛАЯ-12</t>
  </si>
  <si>
    <t>СУДОСТРОИТЕЛЬНАЯ-17</t>
  </si>
  <si>
    <t>СУДОСТРОИТЕЛЬНАЯ-1</t>
  </si>
  <si>
    <t>РАБОЧАЯ-8</t>
  </si>
  <si>
    <t>РАБОЧАЯ-38</t>
  </si>
  <si>
    <t>КРАСНОКАЗАРМЕННАЯ-23</t>
  </si>
  <si>
    <t>АВИАМОТОРНАЯ-51</t>
  </si>
  <si>
    <t>РАЕВСКОГО-3</t>
  </si>
  <si>
    <t>ПОДОЛЬСК-ЛЕНИНА-ПР-Т-111</t>
  </si>
  <si>
    <t>60-ЛЕТИЯ-ОКТЯБРЯ-19</t>
  </si>
  <si>
    <t>ЛЕНИНСКИЙ-ПР-Т-87</t>
  </si>
  <si>
    <t>ЛЕНИНСКИЙ-ПР-Т-99</t>
  </si>
  <si>
    <t>КОМСОМОЛЬСКИЙ-ПР-Т-38/16</t>
  </si>
  <si>
    <t>КОМСОМОЛЬСКИЙ-ПР-Т-11</t>
  </si>
  <si>
    <t>ГРУЗИНСКИЙ-ВАЛ-18/15</t>
  </si>
  <si>
    <t>2-ТВЕРСКАЯ-ЯМСКАЯ-18</t>
  </si>
  <si>
    <t>БУТЫРСКИЙ-ВАЛ-4</t>
  </si>
  <si>
    <t>СМОЛЬНАЯ-44</t>
  </si>
  <si>
    <t>КРОНШТАДСКИЙ-Б-Р-47</t>
  </si>
  <si>
    <t>КРАСНОАРМЕЙСКАЯ-УЛ-34А</t>
  </si>
  <si>
    <t>КОСМОДЕМЬЯНСКИХ-ЗИА-35/1</t>
  </si>
  <si>
    <t>МАЛОМОСКОВСКАЯ-УЛ-14</t>
  </si>
  <si>
    <t>ЯРОСЛАВСКОЕ-Ш-22</t>
  </si>
  <si>
    <t>ДОЛГОПРУДНАЯ-АЛЛЕЯ-14/2</t>
  </si>
  <si>
    <t>ФИЛЕВСКИЙ-БР.,10</t>
  </si>
  <si>
    <t>ПРЕСНЕНСКАЯ-НАБ-12</t>
  </si>
  <si>
    <t>ЯРЦЕВСКАЯ-4</t>
  </si>
  <si>
    <t>НОВОПЕРЕДЕЛКИНСКАЯ-13А</t>
  </si>
  <si>
    <t>МОЖАЙСКОЕ-Ш-29</t>
  </si>
  <si>
    <t>ВЕРЕСАЕВА-12</t>
  </si>
  <si>
    <t>РОГОЖСКИЙ-ВАЛ-4</t>
  </si>
  <si>
    <t>БЕРЕЖКОВСКАЯ-НАБ.-8</t>
  </si>
  <si>
    <t>СТАРОКОНЮШЕННЫЙ-45</t>
  </si>
  <si>
    <t>ВОРОТНИКОВСКИЙ-ПЕР-5/9</t>
  </si>
  <si>
    <t>ЖИТНАЯ-10</t>
  </si>
  <si>
    <t>ОРДЫНСКИЙ-ТУПИК-4А</t>
  </si>
  <si>
    <t>ДМИТРОВСКОЕ-Ш-70</t>
  </si>
  <si>
    <t>ПЯТНИЦКОЕ-Ш-21</t>
  </si>
  <si>
    <t>БАКУНИНСКАЯ-23/41</t>
  </si>
  <si>
    <t>ЛЕФОРТОВСКИЙ-ВАЛ-11</t>
  </si>
  <si>
    <t>БУДЕННОГО-ПР-Т-30/8</t>
  </si>
  <si>
    <t>ПРОФСОЮЗНАЯ-18К1</t>
  </si>
  <si>
    <t>ЛЕНИНСКИЙ-ПР-Т-41К2</t>
  </si>
  <si>
    <t>ЭЛЕКТРОЛИТНЫЙ-ПР-Д-16К7</t>
  </si>
  <si>
    <t>СЕВАСТОПОЛЬСКИЙ-ПР-Т-22</t>
  </si>
  <si>
    <t>КАХОВКА-25</t>
  </si>
  <si>
    <t>НАМЕТКИНА-11</t>
  </si>
  <si>
    <t>КРЖИЖАНОВСКОГО-14К1</t>
  </si>
  <si>
    <t>НАХИМОВСКИЙ-ПР-Т-11К2</t>
  </si>
  <si>
    <t>ЧОНГАРСКИЙ-Б-Р-10К1</t>
  </si>
  <si>
    <t>ШАБОЛОВКА-65К1</t>
  </si>
  <si>
    <t>ПРЕСНЕНСКИЙ-ВАЛ-8К1</t>
  </si>
  <si>
    <t>Б-ГРУЗИНСКАЯ-37</t>
  </si>
  <si>
    <t>НОВОСЛОБОДСКАЯ-67/69</t>
  </si>
  <si>
    <t>ЛЕНИНГРАДСКИЙ-ПР-Т-9</t>
  </si>
  <si>
    <t>ЯБЛОЧКОВА-ВЛ21Д</t>
  </si>
  <si>
    <t>ДМИТРОВСКОЕ-Ш-64К1</t>
  </si>
  <si>
    <t>ДМИТРОВСКОЕ-Ш-107аК5</t>
  </si>
  <si>
    <t>КОВИНСКОЕ-Ш-1К1</t>
  </si>
  <si>
    <t>ИЛЬМЕНСКИЙ-ПР-Д-14К6</t>
  </si>
  <si>
    <t>ДЕГУНИНСКАЯ-3К2</t>
  </si>
  <si>
    <t>ДУБНА-БОГОЛЮБОВА-17</t>
  </si>
  <si>
    <t>ДУБНА-БОГОЛЮБОВА-45</t>
  </si>
  <si>
    <t>ВОЛОКОЛАМСКОЕ-Ш-71К4</t>
  </si>
  <si>
    <t>СТРОГИНСКИЙ-Б-Р-21</t>
  </si>
  <si>
    <t>ЯНА-РАЙНИСА-Б-Р-2К1</t>
  </si>
  <si>
    <t>ТУРИСТСКАЯ-27К1</t>
  </si>
  <si>
    <t>БЕЛОМОРСКАЯ-23</t>
  </si>
  <si>
    <t>ФЕСТИВАЛЬНАЯ-41К1</t>
  </si>
  <si>
    <t>ЛЕНИНГРАДСКИЙ-ПР-Т-62</t>
  </si>
  <si>
    <t>ЛЕНИНГРАДСКОЕ-Ш-58С26</t>
  </si>
  <si>
    <t>ЛЕНИНГРАДСКИЙ-ПР-Т-74С1</t>
  </si>
  <si>
    <t>ЛЕНИНГРАДСКОЕ-ШОССЕ-8/2С1</t>
  </si>
  <si>
    <t>МАРШ-БИРЮЗОВА-12</t>
  </si>
  <si>
    <t>МАРШ-РЫБАЛКО-3</t>
  </si>
  <si>
    <t>ЛЕНИНГРАДСКИЙ-ПР-Т-69С1</t>
  </si>
  <si>
    <t>КУУСИНЕНА-4К1</t>
  </si>
  <si>
    <t>ХОРОШЕВСКОЕ-Ш-90</t>
  </si>
  <si>
    <t>МАРГЕЛОВА-3К2</t>
  </si>
  <si>
    <t>1-ХОРОШЕВСКИЙ-ПР-Д-14К1</t>
  </si>
  <si>
    <t>МАРШ-ЖУКОВА-ПР-Т-30</t>
  </si>
  <si>
    <t>3-ХОРОШЕВСКАЯ-27К3</t>
  </si>
  <si>
    <t>МИТИНСКАЯ-27А</t>
  </si>
  <si>
    <t>КРАСНОГОРСК-ВИДНАЯ-2</t>
  </si>
  <si>
    <t>ОТРАДНОЕ-ПЯТНИЦКАЯ-12</t>
  </si>
  <si>
    <t>ОТРАДНОЕ-КЛЕНОВАЯ-5</t>
  </si>
  <si>
    <t>ЗЕЛЕНОГРАД-КРЮКОВСКАЯ-ПЛ-1</t>
  </si>
  <si>
    <t>РУЗИНО-КУТУЗОВСКИЙ-МКР-3К1</t>
  </si>
  <si>
    <t>БУЗЛАНОВО-НОВЫЙ-ПОСЕЛОК-9</t>
  </si>
  <si>
    <t>КРАСНОГОРСК-ПАВШИНСКИЙ-Б-Р-17</t>
  </si>
  <si>
    <t>КРАСНОГОРСК-КОСМОНАВТОВ-Б-Р-6</t>
  </si>
  <si>
    <t>КРАСНОГОРСК-НАР-ОПОЛЧЕНИЯ-1К1</t>
  </si>
  <si>
    <t>НАХАБИНО-КОРОЛЕВА-2</t>
  </si>
  <si>
    <t>ИСТРА-9-ГВАРДЕЙСКОЙ-ДИВИЗИИ-38</t>
  </si>
  <si>
    <t>РАЗДОРЫ-ЛИПОВОЙ-РОЩИ-6К1</t>
  </si>
  <si>
    <t>УСПЕНСКОЕ-ВЛ-3С1/2</t>
  </si>
  <si>
    <t>МИРА-ПР-Т-49С1</t>
  </si>
  <si>
    <t>ГИЛЯРОВСКОГО-60К1</t>
  </si>
  <si>
    <t>АСТРАХАНСКИЙ-ПЕР-1/15</t>
  </si>
  <si>
    <t>МИРА-ПР-Т-102</t>
  </si>
  <si>
    <t>МИРА-ПР-Т-146</t>
  </si>
  <si>
    <t>ЕНИСЕЙСКАЯ-17К1</t>
  </si>
  <si>
    <t>КОЛЬСКАЯ-8К2</t>
  </si>
  <si>
    <t>ЛАЗОРЕВЫЙ-ПР-Д-5К4</t>
  </si>
  <si>
    <t>ХИМКИ-СОВХОЗНАЯ-16</t>
  </si>
  <si>
    <t>ХИМКИ-ГЕРМАНА-ТИТОВА-10</t>
  </si>
  <si>
    <t>ЛОБНЯ-ЛЕНИНА-67</t>
  </si>
  <si>
    <t>ШОЛОХОВО-ЮНОСТИ-1</t>
  </si>
  <si>
    <t>СХОДНЯ-ЮБИЛЕЙНЫЙ-ПР-Д-ВЛ5С5</t>
  </si>
  <si>
    <t>ХИМКИ-РОДИОНОВА-7А</t>
  </si>
  <si>
    <t>ХИМКИ-МЕЛЬНИКОВА-33</t>
  </si>
  <si>
    <t>ХИМКИ-МЕЛЬНИКОВА-5К2</t>
  </si>
  <si>
    <t>ХИМКИ-МОСКОВСКАЯ-22/1К1</t>
  </si>
  <si>
    <t>1-СТРЕЛКОВЫЙ-ПЕР-3</t>
  </si>
  <si>
    <t>МЫТИЩИ-КОЛПАКОВА-26</t>
  </si>
  <si>
    <t>МЫТИЩИ-АСТРАХОВА-ПР-Т-2</t>
  </si>
  <si>
    <t>МЫТИЩИ-МИРА-37</t>
  </si>
  <si>
    <t>МЫТИЩИ-ЛЕТНАЯ-21/2</t>
  </si>
  <si>
    <t>МЫТИЩИ-ЮБИЛЕЙНАЯ-10</t>
  </si>
  <si>
    <t>МЫТИЩИ-РОЖДЕСТВЕНСКАЯ-11</t>
  </si>
  <si>
    <t>КОРОЛЕВ-ПИОНЕРСКАЯ-13К5</t>
  </si>
  <si>
    <t>КОРОЛЕВ-М-К-ТИХОНРАВОВА-35К7</t>
  </si>
  <si>
    <t>КОРОЛЕВ-ЛЕНИНСКАЯ-11А</t>
  </si>
  <si>
    <t>ИВАНТЕЕВКА-ХЛЕБОЗАВОДСКАЯ-30</t>
  </si>
  <si>
    <t>ИЗМАЙЛОВСКИЙ-Б-Р-11/31</t>
  </si>
  <si>
    <t>М-РОКОССОВСКОГО-Б-Р-39К1</t>
  </si>
  <si>
    <t>М-РОКОССОВСКОГО-Б-Р-7</t>
  </si>
  <si>
    <t>ЩЕЛКОВО-ТАЛСИНСКАЯ-4А</t>
  </si>
  <si>
    <t>ЩЕЛКОВО-ЛЕНИНА-ПЛ-1</t>
  </si>
  <si>
    <t>ЩЕЛКОВО-ЦЕНТРАЛЬНАЯ-17</t>
  </si>
  <si>
    <t>ЩЕЛКОВО-ПОТАПОВСКИЙ-МКР-1К2</t>
  </si>
  <si>
    <t>БАЛАШИХА-ЛЕНИНА-ПР-Т-23/5</t>
  </si>
  <si>
    <t>БАЛАШИХА-ПЕРВОМАЙСКИЙ-ПР-Д-1</t>
  </si>
  <si>
    <t>БАЛАШИХА-СВЕРДЛОВА-16К5</t>
  </si>
  <si>
    <t>ШЕЛЕПИХИНСКАЯ-НАБ-34К4</t>
  </si>
  <si>
    <t>МУКОМОЛЬНЫЙ-ПР-Д-2</t>
  </si>
  <si>
    <t>Мукомольный проезд, д.2</t>
  </si>
  <si>
    <t>БЕРЕГОВОЙ-ПР-Д-4/6С3</t>
  </si>
  <si>
    <t>БЕРЕГОВОЙ-ПР-Д-1А</t>
  </si>
  <si>
    <t>БОЛЬШАЯ-ФИЛЕВСКАЯ-19/18К1</t>
  </si>
  <si>
    <t>БОЛЬШАЯ-ФИЛЕВСКАЯ-3К4</t>
  </si>
  <si>
    <t>М-ФИЛЁВСКАЯ-18</t>
  </si>
  <si>
    <t>ШМИТОВСКИЙ-ПР-Д-10/7</t>
  </si>
  <si>
    <t>РОМАШКОВО-ЕВРОПЕЙСКИЙ-Б-Р-4</t>
  </si>
  <si>
    <t>ОДИНЦОВО-СКОЛКОВСКАЯ-3А</t>
  </si>
  <si>
    <t>ОДИНЦОВО-СКОЛКОВСКАЯ-5А</t>
  </si>
  <si>
    <t>ОДИНЦОВО-ГОВОРОВА-34</t>
  </si>
  <si>
    <t>ОДИНЦОВО-ЧИКИНА-3А</t>
  </si>
  <si>
    <t>ОДИНЦОВО-СЕВЕРНАЯ-5К2</t>
  </si>
  <si>
    <t>ОДИНЦОВО-МАРШ-БИРЮЗОВА-13</t>
  </si>
  <si>
    <t>ОДИНЦОВО-ВОКЗАЛЬНАЯ-31</t>
  </si>
  <si>
    <t>ОДИНЦОВО-МОЖАЙСКОЕ-Ш-101А</t>
  </si>
  <si>
    <t>ОДИНЦОВО-МОЖАЙСКОЕ-Ш-122</t>
  </si>
  <si>
    <t>ОДИНЦОВО-КАШТАНОВАЯ-4</t>
  </si>
  <si>
    <t>ОДИНЦОВО-ТРИУМФАЛЬНАЯ-10</t>
  </si>
  <si>
    <t>ВНИИССОК-МАРШ-КУТУЗОВА-1</t>
  </si>
  <si>
    <t>ВНИИССОК-БЕРЕЗОВАЯ-4</t>
  </si>
  <si>
    <t>ЛЕСНОЙ-ГОРОДОК-МОЛОДЕЖНАЯ-7</t>
  </si>
  <si>
    <t>РУБЛЕВСКОЕ-Ш-16К1</t>
  </si>
  <si>
    <t>ПОЛОЦКАЯ-14</t>
  </si>
  <si>
    <t>АК-ПАВЛОВА-38К1</t>
  </si>
  <si>
    <t>ОЗЕРНАЯ-44</t>
  </si>
  <si>
    <t>ВНУКОВСКОЕ-Б-ПАСТЕРНАКА-6</t>
  </si>
  <si>
    <t>АПРЕЛЕВКА-ЯСНАЯ-1</t>
  </si>
  <si>
    <t>МОСКОВСКИЙ-1-МКРН-158</t>
  </si>
  <si>
    <t>МОСКОВСКИЙ-ИНЖ-КНОРРЕ-7К1</t>
  </si>
  <si>
    <t>КОММУНАРКА-М-ПОНИЗОВЬЕ-10</t>
  </si>
  <si>
    <t>СОСЕНСКОЕ-КУПРИНА-ПР-Т-40К1</t>
  </si>
  <si>
    <t>ТРОИЦК-СОЛНЕЧНАЯ-9</t>
  </si>
  <si>
    <t>ШИШКИН-ЛЕС-15А</t>
  </si>
  <si>
    <t>ПРОФСОЮЗНАЯ-152К1</t>
  </si>
  <si>
    <t>АК-ПИЛЮГИНА-18</t>
  </si>
  <si>
    <t>АРХ-ВЛАСОВА-22</t>
  </si>
  <si>
    <t>ИСТРИНСКАЯ-10К1</t>
  </si>
  <si>
    <t>АМИНЬЕВСКОЕ-Ш-16</t>
  </si>
  <si>
    <t>ЛОБАЧЕВСКОГО-124К1</t>
  </si>
  <si>
    <t>АК-АНОХИНА-46К1</t>
  </si>
  <si>
    <t>НИКУЛИНСКАЯ-8К2</t>
  </si>
  <si>
    <t>КОРАБЕЛЬНАЯ-17</t>
  </si>
  <si>
    <t>ВОЛГОГРАДСКИЙ-ПР-Т-17С2</t>
  </si>
  <si>
    <t>БУДЕННОГО-ПР-Т-51К5</t>
  </si>
  <si>
    <t>РЕУТОВ-ЛЕНИНА-4</t>
  </si>
  <si>
    <t>РЕУТОВ-ЧЕЛОМЕЯ-11</t>
  </si>
  <si>
    <t>РЕУТОВ-РЕУТ-ОПОЛЧЕНЦЕВ-4</t>
  </si>
  <si>
    <t>ЛЮБЕРЦЫ-ИНИЦИАТИВНАЯ-7В</t>
  </si>
  <si>
    <t>ЛЮБЕРЦЫ-8-МАРТА-18К1</t>
  </si>
  <si>
    <t>ЛЮБЕРЦЫ-КОМСОМОЛ-ПР-Т-16К2</t>
  </si>
  <si>
    <t>ЛЮБЕРЦЫ-ЮНОСТИ-13К1</t>
  </si>
  <si>
    <t>ЛЮБЕРЦЫ-ВЕСЕННЯЯ-12</t>
  </si>
  <si>
    <t>ЛЮБЕРЦЫ-КАМОВА-5К1</t>
  </si>
  <si>
    <t>КРАСКОВО-ЕГОРЬЕВСКОЕ-Ш-1К1</t>
  </si>
  <si>
    <t>САВВИНО-СПАССКИЙ-Б-Р-1</t>
  </si>
  <si>
    <t>СТУДЕНЧЕСКАЯ-32</t>
  </si>
  <si>
    <t>ПОБЕДЫ-ПЛ-1Б</t>
  </si>
  <si>
    <t>НОВЫЙ-АРБАТ-31К12</t>
  </si>
  <si>
    <t>ГОГОЛЕВСКИЙ-Б-Р-33/1</t>
  </si>
  <si>
    <t>ПРЕЧИСТЕНКА-16</t>
  </si>
  <si>
    <t>ОСТОЖЕНКА-30К1</t>
  </si>
  <si>
    <t>СИВЦЕВ-ВРАЖЕК-ПЕР-6/2С1</t>
  </si>
  <si>
    <t>ПЛОТНИКОВ-ПЕР-20К21</t>
  </si>
  <si>
    <t>М-БРОННАЯ-22С1</t>
  </si>
  <si>
    <t>Б-ПАЛАШЕВСКИЙ-ПЕР-14К7/5</t>
  </si>
  <si>
    <t>ЦВЕТНОЙ-Б-Р-25С1</t>
  </si>
  <si>
    <t>НЕГЛИННАЯ-16/2С4</t>
  </si>
  <si>
    <t>Б-СУХАРЕВСКАЯ-ПЛ-16/18С1</t>
  </si>
  <si>
    <t>МЯСНИЦКАЯ-32/1К1</t>
  </si>
  <si>
    <t>ПОКРОВКА-29С1</t>
  </si>
  <si>
    <t>ЧИСТОПРУДНЫЙ-Б-Р-9К1</t>
  </si>
  <si>
    <t>Б-СПАСОГЛИНИЩЕВСКИЙ-ПЕР-9/1</t>
  </si>
  <si>
    <t>СПАРТАКОВСКАЯ-6</t>
  </si>
  <si>
    <t>В-КРАСНОСЕЛЬСКАЯ-10</t>
  </si>
  <si>
    <t>КОТЕЛЬНИЧЕСКАЯ-НАБ-1/15</t>
  </si>
  <si>
    <t>ГОНЧАРНЫЙ-ПР-Д-8/40</t>
  </si>
  <si>
    <t>М-КАЛИТНИКОВСКАЯ-1</t>
  </si>
  <si>
    <t>СИМОНОВСКИЙ-ВАЛ-26К1</t>
  </si>
  <si>
    <t>АВТОЗАВОДСКАЯ-8</t>
  </si>
  <si>
    <t>1-НОВОКУЗНЕЦКИЙ-ПЕР-5/7</t>
  </si>
  <si>
    <t>1-й Новокузнецкий пер., д.5/7</t>
  </si>
  <si>
    <t>Б-ПОЛЯНКА-30</t>
  </si>
  <si>
    <t>ПЯТНИЦКАЯ-11/23К1</t>
  </si>
  <si>
    <t>КЛИМЕНТОВСКИЙ-ПЕР-2</t>
  </si>
  <si>
    <t>АК-КОРОЛЕВА-3</t>
  </si>
  <si>
    <t>МЫТИЩИ-АК-КАРГИНА-23А</t>
  </si>
  <si>
    <t>КОРОЛЕВ-АК-ЛЕГОСТАЕВА-8</t>
  </si>
  <si>
    <t>АК-ВАРГИ-26Б</t>
  </si>
  <si>
    <t>КРАСНОГОРСК-ИГОРЯ-МЕРЛУШКИНА-3</t>
  </si>
  <si>
    <t>СОСЕНСКОЕ-ФИТАРЕВСКАЯ-6</t>
  </si>
  <si>
    <t>ОДИНЦОВО-МАРШ-ЖУКОВА-34</t>
  </si>
  <si>
    <t>ЗЕЛЕНОГ-ГЕОРГИЕВСКИЙ-ПР-Т-33К6</t>
  </si>
  <si>
    <t>ИЛЬИНСКОЕ-УС-АРХАНГЕЛЬСКАЯ-4</t>
  </si>
  <si>
    <t>ИЛЬИНСКОЕ-УС-АРХАНГЕЛЬСКАЯ-11</t>
  </si>
  <si>
    <t>ИЛЬИНСКОЕ-УС-ЗАПОВЕДНАЯ-10</t>
  </si>
  <si>
    <t>РУБЛЕВСКОЕ-ПРЕДМЕСТЬЕ-11</t>
  </si>
  <si>
    <t>ДОЛГОПРУД-ЛИХАЧЕВСКОЕ-Ш-14К1</t>
  </si>
  <si>
    <t>ДОЛГОПРУД-УМБЕРТО-НОБИЛЕ-Б-Р-1</t>
  </si>
  <si>
    <t>МЫТИЩИ-ОСТАШКОВСКОЕ-Ш-22К2</t>
  </si>
  <si>
    <t>ДОМОДЕД-ЗАПАД-МКР-ЛУННАЯ-33</t>
  </si>
  <si>
    <t xml:space="preserve"> -</t>
  </si>
  <si>
    <t>АВИАЦИОННАЯ-77К2</t>
  </si>
  <si>
    <t xml:space="preserve">Авиационная ул., д.77,к.2 </t>
  </si>
  <si>
    <t xml:space="preserve">Москва, Авиационная ул., д.77,к.2 </t>
  </si>
  <si>
    <t>МИКЛУХО-МАКЛАЯ-55</t>
  </si>
  <si>
    <t>F608</t>
  </si>
  <si>
    <t>Миклухо-Маклая  55</t>
  </si>
  <si>
    <t>Москва, Миклухо-Маклая  55</t>
  </si>
  <si>
    <t>F609</t>
  </si>
  <si>
    <t>F610</t>
  </si>
  <si>
    <t>кол-во паллет</t>
  </si>
  <si>
    <t>КРАСНОГОРСК_САБУРОВО-53Б</t>
  </si>
  <si>
    <t>НОМЕР ЗОНЫ</t>
  </si>
  <si>
    <t>12П</t>
  </si>
  <si>
    <t>НОВОКОСИНСКАЯ-13К2</t>
  </si>
  <si>
    <t>Новокосинская ул., 13 к 2</t>
  </si>
  <si>
    <t>Москва, Новокосинская ул., 13 к 2</t>
  </si>
  <si>
    <t>12П, КЕФИ</t>
  </si>
  <si>
    <t>12П,2Г</t>
  </si>
  <si>
    <t>8П,2Г</t>
  </si>
  <si>
    <t>8П,КЕФИ</t>
  </si>
  <si>
    <t>12П,КЕФИ</t>
  </si>
  <si>
    <t>14П</t>
  </si>
  <si>
    <t>14П,КЕФИ</t>
  </si>
  <si>
    <t>14П,2Г</t>
  </si>
  <si>
    <t>14П, КЕФИ</t>
  </si>
  <si>
    <t>8П,2Г, КЕФИ</t>
  </si>
  <si>
    <t>Количество паллет</t>
  </si>
  <si>
    <t>Категория маг</t>
  </si>
  <si>
    <t>12П, 2Г</t>
  </si>
  <si>
    <t>12П, 2Г, КЕФИ</t>
  </si>
  <si>
    <r>
      <t>14П,</t>
    </r>
    <r>
      <rPr>
        <b/>
        <sz val="10"/>
        <color rgb="FFFF0000"/>
        <rFont val="Arial"/>
        <family val="2"/>
        <charset val="204"/>
      </rPr>
      <t>КРЮКОВСКАЯ</t>
    </r>
    <r>
      <rPr>
        <sz val="10"/>
        <color rgb="FFFF0000"/>
        <rFont val="Arial"/>
        <family val="2"/>
        <charset val="204"/>
      </rPr>
      <t>, 2Г</t>
    </r>
  </si>
  <si>
    <t>06:30</t>
  </si>
  <si>
    <t>F611</t>
  </si>
  <si>
    <t>F612</t>
  </si>
  <si>
    <t>КЕФИ</t>
  </si>
  <si>
    <r>
      <rPr>
        <sz val="10"/>
        <color rgb="FFFF0000"/>
        <rFont val="Arial"/>
        <family val="2"/>
        <charset val="204"/>
      </rPr>
      <t>_21/10 (</t>
    </r>
    <r>
      <rPr>
        <b/>
        <sz val="10"/>
        <color rgb="FFFF0000"/>
        <rFont val="Arial"/>
        <family val="2"/>
        <charset val="204"/>
      </rPr>
      <t>719732/309</t>
    </r>
    <r>
      <rPr>
        <sz val="10"/>
        <color rgb="FFFF0000"/>
        <rFont val="Arial"/>
        <family val="2"/>
        <charset val="204"/>
      </rPr>
      <t>) Маломосковская ул, 14</t>
    </r>
  </si>
  <si>
    <t>W278</t>
  </si>
  <si>
    <t>КЕФИ46_1</t>
  </si>
  <si>
    <t>КЕФИ43_1</t>
  </si>
  <si>
    <t>АВС04_1</t>
  </si>
  <si>
    <t>АВС05_1</t>
  </si>
  <si>
    <t>КАРАВАН501-10_1</t>
  </si>
  <si>
    <t>АВС08_1</t>
  </si>
  <si>
    <t>КЕФИ19_1</t>
  </si>
  <si>
    <t>АВС06_1</t>
  </si>
  <si>
    <t>ВЕЛЕСС07_1</t>
  </si>
  <si>
    <t>ЛИСТ02_1</t>
  </si>
  <si>
    <t>АВС07_1</t>
  </si>
  <si>
    <t>АЛМА501-10_1</t>
  </si>
  <si>
    <t>АВС03_1</t>
  </si>
  <si>
    <t>ВЕЛЕСС04_1</t>
  </si>
  <si>
    <t>ВЕЛЕСС06_1</t>
  </si>
  <si>
    <t>КЕФИ04_1</t>
  </si>
  <si>
    <t>ВЕЛЕСС01_1</t>
  </si>
  <si>
    <t>КЕФИ34_1</t>
  </si>
  <si>
    <t>АВС1500_1</t>
  </si>
  <si>
    <t>АЛМА503-10_1</t>
  </si>
  <si>
    <t>БУШ503-10_1</t>
  </si>
  <si>
    <t>АЛМА502-12_1</t>
  </si>
  <si>
    <t>ВЕЛЕСС05_1</t>
  </si>
  <si>
    <t>КЕФИ16_1</t>
  </si>
  <si>
    <t>ЛИСТ01_1</t>
  </si>
  <si>
    <t>БУШ501-12_1</t>
  </si>
  <si>
    <t>БУШ502-12_1</t>
  </si>
  <si>
    <t>АВС01_1</t>
  </si>
  <si>
    <t>КЕФИ13_2</t>
  </si>
  <si>
    <t>КЕФИ12_2</t>
  </si>
  <si>
    <t>КЕФИ27_1</t>
  </si>
  <si>
    <t>ВЕЛЕСС08_1</t>
  </si>
  <si>
    <t>АВС02_1</t>
  </si>
  <si>
    <t>ВЕЛЕСС03_1</t>
  </si>
  <si>
    <t>КЕФИ18_1</t>
  </si>
  <si>
    <t>ММА503-10_1</t>
  </si>
  <si>
    <t>КЕФИ21_1</t>
  </si>
  <si>
    <t>КЕФИ24_1</t>
  </si>
  <si>
    <t>КЕФИ39_1</t>
  </si>
  <si>
    <t>КЕФИ01_1</t>
  </si>
  <si>
    <t>КЕФИ05_1</t>
  </si>
  <si>
    <t>КЕФИ40_1</t>
  </si>
  <si>
    <t>КЕФИ41_1</t>
  </si>
  <si>
    <t>КЕФИ22_1</t>
  </si>
  <si>
    <t>КЕФИ35_1</t>
  </si>
  <si>
    <t>КЕФИ14_2</t>
  </si>
  <si>
    <t>КЕФИ13_1</t>
  </si>
  <si>
    <t>КЕФИ28_1</t>
  </si>
  <si>
    <t>КЕФИ06_1</t>
  </si>
  <si>
    <t>КЕФИ06_2</t>
  </si>
  <si>
    <t>КЕФИ08_1</t>
  </si>
  <si>
    <t>КЕФИ29_1</t>
  </si>
  <si>
    <t>КЕФИ10_2</t>
  </si>
  <si>
    <t>КЕФИ12_1</t>
  </si>
  <si>
    <t>КЕФИ25_1</t>
  </si>
  <si>
    <t>КЕФИ09_1</t>
  </si>
  <si>
    <t>КЕФИ08_2</t>
  </si>
  <si>
    <t>КЕФИ07_1</t>
  </si>
  <si>
    <t>КЕФИ20_1</t>
  </si>
  <si>
    <t>КЕФИ45_1</t>
  </si>
  <si>
    <t>КЕФИ32_1</t>
  </si>
  <si>
    <t>КЕФИ07_2</t>
  </si>
  <si>
    <t>КЕФИ30_1</t>
  </si>
  <si>
    <t>КЕФИ36_1</t>
  </si>
  <si>
    <t>КЕФИ15_1</t>
  </si>
  <si>
    <t>КЕФИ38_1</t>
  </si>
  <si>
    <t>КЕФИ42_1</t>
  </si>
  <si>
    <t>КЕФИ23_1</t>
  </si>
  <si>
    <t>КЕФИ11_1</t>
  </si>
  <si>
    <t>КЕФИ31_1</t>
  </si>
  <si>
    <t>КЕФИ17_1</t>
  </si>
  <si>
    <t>ЛИСТ03_1</t>
  </si>
  <si>
    <t>КЕФИ33_1</t>
  </si>
  <si>
    <t>ВЕЛЕСС02_1</t>
  </si>
  <si>
    <t>ЛИСТ04_1</t>
  </si>
  <si>
    <t>КЕФИ03_1</t>
  </si>
  <si>
    <t>ММА501-12_1</t>
  </si>
  <si>
    <t>КЕФИ44_1</t>
  </si>
  <si>
    <t>КЕФИ37_1</t>
  </si>
  <si>
    <t>КЕФИ02_1</t>
  </si>
  <si>
    <t>КЕФИ14_1</t>
  </si>
  <si>
    <t>КЕФИ10_1</t>
  </si>
  <si>
    <t>КЕФИ09_2</t>
  </si>
  <si>
    <t>КЕФИ26_1</t>
  </si>
  <si>
    <t>ММА502-12_1</t>
  </si>
  <si>
    <t>05:25:34</t>
  </si>
  <si>
    <t>04:42:44</t>
  </si>
  <si>
    <t>06:29:32</t>
  </si>
  <si>
    <t>05:12:46</t>
  </si>
  <si>
    <t>05:00:00</t>
  </si>
  <si>
    <t>05:27:54</t>
  </si>
  <si>
    <t>09:46:04</t>
  </si>
  <si>
    <t>09:31:33</t>
  </si>
  <si>
    <t>08:03:53</t>
  </si>
  <si>
    <t>07:12:00</t>
  </si>
  <si>
    <t>06:56:03</t>
  </si>
  <si>
    <t>08:02:32</t>
  </si>
  <si>
    <t>10:40:14</t>
  </si>
  <si>
    <t>08:10:00</t>
  </si>
  <si>
    <t>09:03:44</t>
  </si>
  <si>
    <t>14:18:07</t>
  </si>
  <si>
    <t>07:40:00</t>
  </si>
  <si>
    <t>11:21:36</t>
  </si>
  <si>
    <t>04:30:00</t>
  </si>
  <si>
    <t>06:19:39</t>
  </si>
  <si>
    <t>06:52:10</t>
  </si>
  <si>
    <t>14:48:07</t>
  </si>
  <si>
    <t>15:18:08</t>
  </si>
  <si>
    <t>13:20:15</t>
  </si>
  <si>
    <t>05:21:08</t>
  </si>
  <si>
    <t>05:54:00</t>
  </si>
  <si>
    <t>05:16:38</t>
  </si>
  <si>
    <t>06:23:26</t>
  </si>
  <si>
    <t>04:51:00</t>
  </si>
  <si>
    <t>04:58:35</t>
  </si>
  <si>
    <t>07:34:42</t>
  </si>
  <si>
    <t>07:18:00</t>
  </si>
  <si>
    <t>05:59:42</t>
  </si>
  <si>
    <t>06:17:37</t>
  </si>
  <si>
    <t>04:42:00</t>
  </si>
  <si>
    <t>06:46:14</t>
  </si>
  <si>
    <t>05:57:53</t>
  </si>
  <si>
    <t>06:12:16</t>
  </si>
  <si>
    <t>07:56:30</t>
  </si>
  <si>
    <t>06:26:00</t>
  </si>
  <si>
    <t>05:42:14</t>
  </si>
  <si>
    <t>09:00:00</t>
  </si>
  <si>
    <t>06:25:50</t>
  </si>
  <si>
    <t>05:52:03</t>
  </si>
  <si>
    <t>12:53:46</t>
  </si>
  <si>
    <t>07:33:34</t>
  </si>
  <si>
    <t>08:08:12</t>
  </si>
  <si>
    <t>09:30:00</t>
  </si>
  <si>
    <t>07:33:17</t>
  </si>
  <si>
    <t>06:14:53</t>
  </si>
  <si>
    <t>04:53:42</t>
  </si>
  <si>
    <t>05:49:11</t>
  </si>
  <si>
    <t>06:47:47</t>
  </si>
  <si>
    <t>04:48:00</t>
  </si>
  <si>
    <t>08:05:19</t>
  </si>
  <si>
    <t>07:10:00</t>
  </si>
  <si>
    <t>13:48:59</t>
  </si>
  <si>
    <t>09:24:00</t>
  </si>
  <si>
    <t>06:43:09</t>
  </si>
  <si>
    <t>08:01:28</t>
  </si>
  <si>
    <t>11:52:01</t>
  </si>
  <si>
    <t>09:30:59</t>
  </si>
  <si>
    <t>12:21:28</t>
  </si>
  <si>
    <t>09:45:13</t>
  </si>
  <si>
    <t>10:41:21</t>
  </si>
  <si>
    <t>11:34:16</t>
  </si>
  <si>
    <t>12:18:18</t>
  </si>
  <si>
    <t>14:25:52</t>
  </si>
  <si>
    <t>10:25:02</t>
  </si>
  <si>
    <t>10:19:25</t>
  </si>
  <si>
    <t>15:11:21</t>
  </si>
  <si>
    <t>13:10:06</t>
  </si>
  <si>
    <t>10:33:30</t>
  </si>
  <si>
    <t>11:26:37</t>
  </si>
  <si>
    <t>11:50:45</t>
  </si>
  <si>
    <t>15:30:46</t>
  </si>
  <si>
    <t>12:41:19</t>
  </si>
  <si>
    <t>09:54:28</t>
  </si>
  <si>
    <t>10:44:34</t>
  </si>
  <si>
    <t>13:01:30</t>
  </si>
  <si>
    <t>13:40:32</t>
  </si>
  <si>
    <t>10:06:18</t>
  </si>
  <si>
    <t>09:47:24</t>
  </si>
  <si>
    <t>10:41:02</t>
  </si>
  <si>
    <t>12:33:12</t>
  </si>
  <si>
    <t>11:43:09</t>
  </si>
  <si>
    <t>11:57:08</t>
  </si>
  <si>
    <t>11:56:41</t>
  </si>
  <si>
    <t>12:25:35</t>
  </si>
  <si>
    <t>10:49:24</t>
  </si>
  <si>
    <t>10:03:40</t>
  </si>
  <si>
    <t>12:09:42</t>
  </si>
  <si>
    <t>11:37:03</t>
  </si>
  <si>
    <t>13:02:02</t>
  </si>
  <si>
    <t>10:19:08</t>
  </si>
  <si>
    <t>11:00:57</t>
  </si>
  <si>
    <t>09:03:54</t>
  </si>
  <si>
    <t>13:50:48</t>
  </si>
  <si>
    <t>13:33:41</t>
  </si>
  <si>
    <t>10:48:46</t>
  </si>
  <si>
    <t>12:18:24</t>
  </si>
  <si>
    <t>15:37:26</t>
  </si>
  <si>
    <t>10:33:52</t>
  </si>
  <si>
    <t>12:26:45</t>
  </si>
  <si>
    <t>15:00:57</t>
  </si>
  <si>
    <t>12:15:41</t>
  </si>
  <si>
    <t>16:49:49</t>
  </si>
  <si>
    <t>11:02:11</t>
  </si>
  <si>
    <t>14:20:32</t>
  </si>
  <si>
    <t>16:09:57</t>
  </si>
  <si>
    <t>09:01:13</t>
  </si>
  <si>
    <t>10:11:59</t>
  </si>
  <si>
    <t>12:33:19</t>
  </si>
  <si>
    <t>13:15:22</t>
  </si>
  <si>
    <t>14:16:15</t>
  </si>
  <si>
    <t>17:24:49</t>
  </si>
  <si>
    <t>09:07:29</t>
  </si>
  <si>
    <t>15:25:07</t>
  </si>
  <si>
    <t>10:35:51</t>
  </si>
  <si>
    <t>12:44:07</t>
  </si>
  <si>
    <t>10:58:33</t>
  </si>
  <si>
    <t>11:12:11</t>
  </si>
  <si>
    <t>12:29:13</t>
  </si>
  <si>
    <t>11:01:21</t>
  </si>
  <si>
    <t>12:08:40</t>
  </si>
  <si>
    <t>10:06:24</t>
  </si>
  <si>
    <t>09:53:30</t>
  </si>
  <si>
    <t>11:11:00</t>
  </si>
  <si>
    <t>13:38:18</t>
  </si>
  <si>
    <t>12:13:38</t>
  </si>
  <si>
    <t>12:10:30</t>
  </si>
  <si>
    <t>12:32:22</t>
  </si>
  <si>
    <t>14:04:33</t>
  </si>
  <si>
    <t>13:12:42</t>
  </si>
  <si>
    <t>14:56:56</t>
  </si>
  <si>
    <t>13:15:57</t>
  </si>
  <si>
    <t>11:34:12</t>
  </si>
  <si>
    <t>11:21:03</t>
  </si>
  <si>
    <t>11:54:46</t>
  </si>
  <si>
    <t>15:43:10</t>
  </si>
  <si>
    <t>12:31:19</t>
  </si>
  <si>
    <t>12:33:37</t>
  </si>
  <si>
    <t>11:56:51</t>
  </si>
  <si>
    <t>12:11:36</t>
  </si>
  <si>
    <t>11:37:55</t>
  </si>
  <si>
    <t>15:29:00</t>
  </si>
  <si>
    <t>14:14:33</t>
  </si>
  <si>
    <t>10:57:43</t>
  </si>
  <si>
    <t>19:32:00</t>
  </si>
  <si>
    <t>11:03:06</t>
  </si>
  <si>
    <t>09:41:06</t>
  </si>
  <si>
    <t>10:00:57</t>
  </si>
  <si>
    <t>12:00:00</t>
  </si>
  <si>
    <t>13:03:11</t>
  </si>
  <si>
    <t>12:50:34</t>
  </si>
  <si>
    <t>14:43:25</t>
  </si>
  <si>
    <t>10:58:25</t>
  </si>
  <si>
    <t>12:19:49</t>
  </si>
  <si>
    <t>10:52:44</t>
  </si>
  <si>
    <t>09:25:05</t>
  </si>
  <si>
    <t>11:48:56</t>
  </si>
  <si>
    <t>12:07:03</t>
  </si>
  <si>
    <t>11:34:06</t>
  </si>
  <si>
    <t>12:07:23</t>
  </si>
  <si>
    <t>17:59:36</t>
  </si>
  <si>
    <t>08:32:18</t>
  </si>
  <si>
    <t>11:07:43</t>
  </si>
  <si>
    <t>11:07:36</t>
  </si>
  <si>
    <t>15:51:13</t>
  </si>
  <si>
    <t>09:33:48</t>
  </si>
  <si>
    <t>14:32:55</t>
  </si>
  <si>
    <t>11:11:45</t>
  </si>
  <si>
    <t>12:19:36</t>
  </si>
  <si>
    <t>09:59:34</t>
  </si>
  <si>
    <t>10:27:24</t>
  </si>
  <si>
    <t>10:29:01</t>
  </si>
  <si>
    <t>15:19:03</t>
  </si>
  <si>
    <t>16:43:56</t>
  </si>
  <si>
    <t>11:47:01</t>
  </si>
  <si>
    <t>10:12:57</t>
  </si>
  <si>
    <t>10:28:23</t>
  </si>
  <si>
    <t>11:45:23</t>
  </si>
  <si>
    <t>12:30:52</t>
  </si>
  <si>
    <t>12:47:23</t>
  </si>
  <si>
    <t>11:13:29</t>
  </si>
  <si>
    <t>11:54:26</t>
  </si>
  <si>
    <t>10:38:49</t>
  </si>
  <si>
    <t>10:04:44</t>
  </si>
  <si>
    <t>10:59:25</t>
  </si>
  <si>
    <t>08:04:01</t>
  </si>
  <si>
    <t>15:50:28</t>
  </si>
  <si>
    <t>11:08:29</t>
  </si>
  <si>
    <t>16:22:29</t>
  </si>
  <si>
    <t>16:07:12</t>
  </si>
  <si>
    <t>14:38:10</t>
  </si>
  <si>
    <t>10:53:26</t>
  </si>
  <si>
    <t>09:43:14</t>
  </si>
  <si>
    <t>10:28:48</t>
  </si>
  <si>
    <t>11:07:37</t>
  </si>
  <si>
    <t>10:26:56</t>
  </si>
  <si>
    <t>10:59:27</t>
  </si>
  <si>
    <t>12:46:38</t>
  </si>
  <si>
    <t>08:37:40</t>
  </si>
  <si>
    <t>12:21:54</t>
  </si>
  <si>
    <t>12:31:41</t>
  </si>
  <si>
    <t>09:16:06</t>
  </si>
  <si>
    <t>11:42:40</t>
  </si>
  <si>
    <t>10:54:53</t>
  </si>
  <si>
    <t>17:13:40</t>
  </si>
  <si>
    <t>12:03:39</t>
  </si>
  <si>
    <t>10:43:44</t>
  </si>
  <si>
    <t>09:22:22</t>
  </si>
  <si>
    <t>11:23:54</t>
  </si>
  <si>
    <t>10:26:13</t>
  </si>
  <si>
    <t>09:50:46</t>
  </si>
  <si>
    <t>10:28:38</t>
  </si>
  <si>
    <t>15:28:22</t>
  </si>
  <si>
    <t>10:54:45</t>
  </si>
  <si>
    <t>10:37:01</t>
  </si>
  <si>
    <t>11:32:16</t>
  </si>
  <si>
    <t>12:27:18</t>
  </si>
  <si>
    <t>11:19:43</t>
  </si>
  <si>
    <t>11:31:20</t>
  </si>
  <si>
    <t>09:33:59</t>
  </si>
  <si>
    <t>10:50:57</t>
  </si>
  <si>
    <t>11:20:51</t>
  </si>
  <si>
    <t>11:15:04</t>
  </si>
  <si>
    <t>09:59:51</t>
  </si>
  <si>
    <t>10:07:03</t>
  </si>
  <si>
    <t>11:49:18</t>
  </si>
  <si>
    <t>11:16:33</t>
  </si>
  <si>
    <t>10:31:55</t>
  </si>
  <si>
    <t>12:00:33</t>
  </si>
  <si>
    <t>13:39:37</t>
  </si>
  <si>
    <t>11:28:50</t>
  </si>
  <si>
    <t>10:16:14</t>
  </si>
  <si>
    <t>14:19:00</t>
  </si>
  <si>
    <t>14:08:57</t>
  </si>
  <si>
    <t>10:32:42</t>
  </si>
  <si>
    <t>11:19:42</t>
  </si>
  <si>
    <t>12:36:09</t>
  </si>
  <si>
    <t>10:00:52</t>
  </si>
  <si>
    <t>09:31:52</t>
  </si>
  <si>
    <t>13:50:00</t>
  </si>
  <si>
    <t>14:27:30</t>
  </si>
  <si>
    <t>13:06:45</t>
  </si>
  <si>
    <t>12:46:40</t>
  </si>
  <si>
    <t>12:36:47</t>
  </si>
  <si>
    <t>09:38:45</t>
  </si>
  <si>
    <t>11:17:19</t>
  </si>
  <si>
    <t>12:19:45</t>
  </si>
  <si>
    <t>11:21:13</t>
  </si>
  <si>
    <t>09:33:46</t>
  </si>
  <si>
    <t>10:00:21</t>
  </si>
  <si>
    <t>13:41:05</t>
  </si>
  <si>
    <t>10:53:50</t>
  </si>
  <si>
    <t>12:28:41</t>
  </si>
  <si>
    <t>11:18:25</t>
  </si>
  <si>
    <t>13:12:52</t>
  </si>
  <si>
    <t>09:52:36</t>
  </si>
  <si>
    <t>09:57:30</t>
  </si>
  <si>
    <t>12:38:33</t>
  </si>
  <si>
    <t>11:05:16</t>
  </si>
  <si>
    <t>12:51:34</t>
  </si>
  <si>
    <t>11:39:24</t>
  </si>
  <si>
    <t>10:18:53</t>
  </si>
  <si>
    <t>11:22:29</t>
  </si>
  <si>
    <t>11:18:07</t>
  </si>
  <si>
    <t>12:06:13</t>
  </si>
  <si>
    <t>11:48:14</t>
  </si>
  <si>
    <t>13:18:29</t>
  </si>
  <si>
    <t>11:18:39</t>
  </si>
  <si>
    <t>15:10:43</t>
  </si>
  <si>
    <t>12:30:27</t>
  </si>
  <si>
    <t>10:21:26</t>
  </si>
  <si>
    <t>12:33:30</t>
  </si>
  <si>
    <t>11:40:08</t>
  </si>
  <si>
    <t>12:36:11</t>
  </si>
  <si>
    <t>11:34:29</t>
  </si>
  <si>
    <t>09:01:19</t>
  </si>
  <si>
    <t>12:57:28</t>
  </si>
  <si>
    <t>11:11:22</t>
  </si>
  <si>
    <t>12:06:06</t>
  </si>
  <si>
    <t>12:47:01</t>
  </si>
  <si>
    <t>12:17:26</t>
  </si>
  <si>
    <t>11:37:04</t>
  </si>
  <si>
    <t>12:06:42</t>
  </si>
  <si>
    <t>12:24:33</t>
  </si>
  <si>
    <t>10:18:54</t>
  </si>
  <si>
    <t>12:45:21</t>
  </si>
  <si>
    <t>08:34:07</t>
  </si>
  <si>
    <t>12:53:08</t>
  </si>
  <si>
    <t>11:06:51</t>
  </si>
  <si>
    <t>14:08:53</t>
  </si>
  <si>
    <t>15:44:56</t>
  </si>
  <si>
    <t>15:41:18</t>
  </si>
  <si>
    <t>11:08:38</t>
  </si>
  <si>
    <t>12:28:06</t>
  </si>
  <si>
    <t>14:19:28</t>
  </si>
  <si>
    <t>10:33:36</t>
  </si>
  <si>
    <t>11:50:02</t>
  </si>
  <si>
    <t>12:48:14</t>
  </si>
  <si>
    <t>07:30</t>
  </si>
  <si>
    <t>06:29:10</t>
  </si>
  <si>
    <t>06:29:33</t>
  </si>
  <si>
    <t>04:00</t>
  </si>
  <si>
    <t>04:30</t>
  </si>
  <si>
    <t>05:00</t>
  </si>
  <si>
    <t>05:30</t>
  </si>
  <si>
    <t>06:00</t>
  </si>
  <si>
    <t>05:53:30</t>
  </si>
  <si>
    <t>пос.Шишкин Лес, 15А</t>
  </si>
  <si>
    <t>Шералиев Ибрагим Жаркынбаевич</t>
  </si>
  <si>
    <t>МКК 418031</t>
  </si>
  <si>
    <t>7 977 598-36-27</t>
  </si>
  <si>
    <t>JAC</t>
  </si>
  <si>
    <t>М012КК977</t>
  </si>
  <si>
    <t>РЕФ</t>
  </si>
  <si>
    <t>5т.</t>
  </si>
  <si>
    <t>ММАВТО</t>
  </si>
  <si>
    <t xml:space="preserve">Нестеров Дмитрий Сергеевич </t>
  </si>
  <si>
    <t>6BA 0062700</t>
  </si>
  <si>
    <t>7 977 650-96-25</t>
  </si>
  <si>
    <t>ISUZU</t>
  </si>
  <si>
    <t>Х016АК799</t>
  </si>
  <si>
    <t>Хутиев Магомед Казбекович</t>
  </si>
  <si>
    <t>99 08 947478</t>
  </si>
  <si>
    <t>7 963 586-51-20</t>
  </si>
  <si>
    <t>HYUNDAI</t>
  </si>
  <si>
    <t>А282ЕК550</t>
  </si>
  <si>
    <t>Брижеватый Никита Геннадьевич</t>
  </si>
  <si>
    <t>9922 743078</t>
  </si>
  <si>
    <t>89777011826</t>
  </si>
  <si>
    <t>Форд</t>
  </si>
  <si>
    <t>К303УН790</t>
  </si>
  <si>
    <t>Грузовой фургон</t>
  </si>
  <si>
    <t>3т</t>
  </si>
  <si>
    <t>ООО ЛИСТ</t>
  </si>
  <si>
    <t>Шомуротов Бехруз</t>
  </si>
  <si>
    <t>AG0418914</t>
  </si>
  <si>
    <t>Газ</t>
  </si>
  <si>
    <t>Е331КВ790</t>
  </si>
  <si>
    <t>Обидов Абдумаликжон Атоевич</t>
  </si>
  <si>
    <t>AG0329636</t>
  </si>
  <si>
    <t>К820РХ790</t>
  </si>
  <si>
    <t>Зиядинов Илимбек Советбекович</t>
  </si>
  <si>
    <t>3623 795813</t>
  </si>
  <si>
    <t>8 991 869-50-08</t>
  </si>
  <si>
    <t>АФ</t>
  </si>
  <si>
    <t>О270СВ71</t>
  </si>
  <si>
    <t>9943 488480</t>
  </si>
  <si>
    <t>Юлдашев Мирзохид Махмуджонович</t>
  </si>
  <si>
    <t>9939 747028</t>
  </si>
  <si>
    <t>Камаз</t>
  </si>
  <si>
    <t>Т482УР790</t>
  </si>
  <si>
    <t>9975653235</t>
  </si>
  <si>
    <t>реф/изо</t>
  </si>
  <si>
    <t>5</t>
  </si>
  <si>
    <t>КАРАВАН</t>
  </si>
  <si>
    <t>Жапаркулов Эрхан Жамалбекович</t>
  </si>
  <si>
    <t>DL0661486</t>
  </si>
  <si>
    <t>7 985 077-20-02</t>
  </si>
  <si>
    <t>ФУСО</t>
  </si>
  <si>
    <t>т346ах797</t>
  </si>
  <si>
    <t>99 40 121007</t>
  </si>
  <si>
    <t>Реф</t>
  </si>
  <si>
    <t>5тн</t>
  </si>
  <si>
    <t>ООО"БУШ-АВТОПРОМ"</t>
  </si>
  <si>
    <t>Алмазбеков Бексултан Алмазбекович</t>
  </si>
  <si>
    <t>DL 0944025</t>
  </si>
  <si>
    <t>7 969 485-60-75</t>
  </si>
  <si>
    <t>ФАВ</t>
  </si>
  <si>
    <t>н715мх977</t>
  </si>
  <si>
    <t>99 78 973805</t>
  </si>
  <si>
    <t>Мусаев Муса Тельманович</t>
  </si>
  <si>
    <t>99 37 505470</t>
  </si>
  <si>
    <t>7 925 863-05-05</t>
  </si>
  <si>
    <t>н730мх977</t>
  </si>
  <si>
    <t>99 78 973806</t>
  </si>
  <si>
    <t>Алиев Васиф Вагиф Оглы</t>
  </si>
  <si>
    <t>9935 718511</t>
  </si>
  <si>
    <t>8 939 820-09-76</t>
  </si>
  <si>
    <t xml:space="preserve">Исузу </t>
  </si>
  <si>
    <t>Х447АА550</t>
  </si>
  <si>
    <t>9962900074</t>
  </si>
  <si>
    <t>РЕФ с ГБ</t>
  </si>
  <si>
    <t>ТК АЛМА</t>
  </si>
  <si>
    <t xml:space="preserve">Жуманалиев Азамат Калыбекович </t>
  </si>
  <si>
    <t>000699754</t>
  </si>
  <si>
    <t xml:space="preserve">8 995 120-04-08         </t>
  </si>
  <si>
    <t>Е892СР797</t>
  </si>
  <si>
    <t>9972 890393</t>
  </si>
  <si>
    <t>Джураев Бахриддин Нуриллаевич</t>
  </si>
  <si>
    <t>AG0474175</t>
  </si>
  <si>
    <t>8 926 265-19-80</t>
  </si>
  <si>
    <t>С027ВС550</t>
  </si>
  <si>
    <t>9972 891457</t>
  </si>
  <si>
    <t>Оморов Нуралы Салманович</t>
  </si>
  <si>
    <t>DL0148225</t>
  </si>
  <si>
    <t>газель-бизнес</t>
  </si>
  <si>
    <t>к978еа977</t>
  </si>
  <si>
    <t>Изотерм</t>
  </si>
  <si>
    <t>кефи логистика</t>
  </si>
  <si>
    <t>Думанов Валерий Александрович</t>
  </si>
  <si>
    <t>9908707215</t>
  </si>
  <si>
    <t>о278ве977</t>
  </si>
  <si>
    <t>Базаркулов Улугбек Абдыкаимович</t>
  </si>
  <si>
    <t>DL0845630</t>
  </si>
  <si>
    <t>89030189410</t>
  </si>
  <si>
    <t>к140еа977</t>
  </si>
  <si>
    <t>Ботояров Мадаминжан Махаматжанович</t>
  </si>
  <si>
    <t>001067401</t>
  </si>
  <si>
    <t>к049еа977</t>
  </si>
  <si>
    <t>Шайыбек уулу Султангазы</t>
  </si>
  <si>
    <t>DL0864737</t>
  </si>
  <si>
    <t>к151еа977</t>
  </si>
  <si>
    <t>Халимов Сухроб Махмадович</t>
  </si>
  <si>
    <t>82 21 097688</t>
  </si>
  <si>
    <t>н278еа977</t>
  </si>
  <si>
    <t>Абдыраев Уланбек Турдалиевич</t>
  </si>
  <si>
    <t>9922100867</t>
  </si>
  <si>
    <t>о315ве977</t>
  </si>
  <si>
    <t>Халимов Джамшед Махмадович</t>
  </si>
  <si>
    <t>82 21 074489</t>
  </si>
  <si>
    <t>н184еа977</t>
  </si>
  <si>
    <t>Билал уулу Акназар</t>
  </si>
  <si>
    <t>000964767</t>
  </si>
  <si>
    <t>о232ве977</t>
  </si>
  <si>
    <t>Жаманкулов Бузурман Жаныбекович</t>
  </si>
  <si>
    <t>DL0134390</t>
  </si>
  <si>
    <t>к070еа977</t>
  </si>
  <si>
    <t>Суеркулов Марлен Маданбекович</t>
  </si>
  <si>
    <t>DL0795044</t>
  </si>
  <si>
    <t>а541ах977</t>
  </si>
  <si>
    <t>Рефрижератор</t>
  </si>
  <si>
    <t>Муминов Муртазо Абдулазизович</t>
  </si>
  <si>
    <t>5034529346</t>
  </si>
  <si>
    <t>к068еа977</t>
  </si>
  <si>
    <t>Куштаров Улугбек Шарипжанович</t>
  </si>
  <si>
    <t>000909531</t>
  </si>
  <si>
    <t>к096еа977</t>
  </si>
  <si>
    <t>Жумакадыр уулу Нурланбек</t>
  </si>
  <si>
    <t>DL0372258</t>
  </si>
  <si>
    <t>к951еа977</t>
  </si>
  <si>
    <t>Тоштемирова Эльмира Рустамжон Кизи</t>
  </si>
  <si>
    <t>DL0551552</t>
  </si>
  <si>
    <t>к131еа977</t>
  </si>
  <si>
    <t>Кушбаев Эрмек Замымбекович</t>
  </si>
  <si>
    <t>DL0651388</t>
  </si>
  <si>
    <t>о148ве977</t>
  </si>
  <si>
    <t>Жанжигитов Курбаналы Юнусович</t>
  </si>
  <si>
    <t>99 18 535123</t>
  </si>
  <si>
    <t>к271еа977</t>
  </si>
  <si>
    <t>Кулмамаев Бактыбек Токторбаевич</t>
  </si>
  <si>
    <t>DL0140948</t>
  </si>
  <si>
    <t>н224еа977</t>
  </si>
  <si>
    <t>Алмазбек уулу Элмурат</t>
  </si>
  <si>
    <t>DL0244891</t>
  </si>
  <si>
    <t>о300ве977</t>
  </si>
  <si>
    <t>Зиёев Абдуразок Мутавалиевич</t>
  </si>
  <si>
    <t>9935098117</t>
  </si>
  <si>
    <t>н261еа977</t>
  </si>
  <si>
    <t>Каримбаев Асылбек</t>
  </si>
  <si>
    <t>BU133028</t>
  </si>
  <si>
    <t>к075еа977</t>
  </si>
  <si>
    <t>Кудайбергенов Азамат Омурбекович</t>
  </si>
  <si>
    <t>DL0365950</t>
  </si>
  <si>
    <t>н041еа977</t>
  </si>
  <si>
    <t>Маматкарим уулу Эламан</t>
  </si>
  <si>
    <t>DL0743433</t>
  </si>
  <si>
    <t>к264еа977</t>
  </si>
  <si>
    <t>Мамбеталиев Азим Бактыбекович</t>
  </si>
  <si>
    <t>DL0381150</t>
  </si>
  <si>
    <t>а544ах977</t>
  </si>
  <si>
    <t>Маматзакиров Асыл Курманбекович</t>
  </si>
  <si>
    <t>DL0582716</t>
  </si>
  <si>
    <t>к964еа977</t>
  </si>
  <si>
    <t>Жайлообек Уулу Нурболот</t>
  </si>
  <si>
    <t>001022524</t>
  </si>
  <si>
    <t>а342ах977</t>
  </si>
  <si>
    <t>Абдиманап Уулу Арген</t>
  </si>
  <si>
    <t>DL0309297</t>
  </si>
  <si>
    <t>н039еа977</t>
  </si>
  <si>
    <t>Карабеков Бекзат Тойчубекович</t>
  </si>
  <si>
    <t>DL0000229</t>
  </si>
  <si>
    <t>к025еа977</t>
  </si>
  <si>
    <t>Суранбаев Султан Асанбекович</t>
  </si>
  <si>
    <t>DL0049764</t>
  </si>
  <si>
    <t>к130еа977</t>
  </si>
  <si>
    <t>Бекбоев Азамат Асанбекович</t>
  </si>
  <si>
    <t>DL0540246</t>
  </si>
  <si>
    <t>к037еа977</t>
  </si>
  <si>
    <t>Айдаралиев Бекболот</t>
  </si>
  <si>
    <t>DL0426272</t>
  </si>
  <si>
    <t>н287еа977</t>
  </si>
  <si>
    <t xml:space="preserve">Саткынов Азизхан </t>
  </si>
  <si>
    <t>000916192</t>
  </si>
  <si>
    <t>к968еа977</t>
  </si>
  <si>
    <t>Асанбеков Жаныш Султанович</t>
  </si>
  <si>
    <t>DL0928981</t>
  </si>
  <si>
    <t>к831еа977</t>
  </si>
  <si>
    <t>Абжапаров Иляз Тенирбердиевич</t>
  </si>
  <si>
    <t>000971715</t>
  </si>
  <si>
    <t>к209еа977</t>
  </si>
  <si>
    <t>Раимбердиев Элмырза Алмазбекович</t>
  </si>
  <si>
    <t>DL0643196</t>
  </si>
  <si>
    <t>о244ве977</t>
  </si>
  <si>
    <t>зт</t>
  </si>
  <si>
    <t>Ахматбеков Акжол Ахматбекович</t>
  </si>
  <si>
    <t>000719890</t>
  </si>
  <si>
    <t>н200еа977</t>
  </si>
  <si>
    <t xml:space="preserve">Ормонов Женишбек </t>
  </si>
  <si>
    <t>к123еа977</t>
  </si>
  <si>
    <t>Бараханов Талантбек Шарибжанович</t>
  </si>
  <si>
    <t>9906796640</t>
  </si>
  <si>
    <t>о321ве977</t>
  </si>
  <si>
    <t>Курманбаев Омурбек Токтомуратович</t>
  </si>
  <si>
    <t>000659030</t>
  </si>
  <si>
    <t>а463ах977</t>
  </si>
  <si>
    <t>Шарип уулу Нурсултан</t>
  </si>
  <si>
    <t>DL0554390</t>
  </si>
  <si>
    <t>н185еа977</t>
  </si>
  <si>
    <t xml:space="preserve">Махамат уулу Мыктыбек </t>
  </si>
  <si>
    <t>DL0680494</t>
  </si>
  <si>
    <t>к873еа977</t>
  </si>
  <si>
    <t>Эсеналиев Адилет Турарбекович</t>
  </si>
  <si>
    <t>DL0094009</t>
  </si>
  <si>
    <t>к247еа977</t>
  </si>
  <si>
    <t>Буйлов Максим Алексеевич</t>
  </si>
  <si>
    <t>9944192740</t>
  </si>
  <si>
    <t>к035еа977</t>
  </si>
  <si>
    <t>Зулпукааров Кубанычбек Ырысбаевич</t>
  </si>
  <si>
    <t>DL0768485</t>
  </si>
  <si>
    <t>к987еа977</t>
  </si>
  <si>
    <t>Ахмедов Имран Абдулович</t>
  </si>
  <si>
    <t>9522189160</t>
  </si>
  <si>
    <t>н249еа977</t>
  </si>
  <si>
    <t>Жамшитбек уулу Адилет</t>
  </si>
  <si>
    <t>001001614</t>
  </si>
  <si>
    <t>к143еа977</t>
  </si>
  <si>
    <t>Карасев Павел Евгеньевич</t>
  </si>
  <si>
    <t>ФОРД</t>
  </si>
  <si>
    <t>Н647МК799</t>
  </si>
  <si>
    <t>3Т</t>
  </si>
  <si>
    <t>авс</t>
  </si>
  <si>
    <t>Андреев Николай Евгеньевич</t>
  </si>
  <si>
    <t>ИВЕКО</t>
  </si>
  <si>
    <t>У 011 ОН 799</t>
  </si>
  <si>
    <t>Королев Владимир Николаевич</t>
  </si>
  <si>
    <t>Е 248 РВ 799</t>
  </si>
  <si>
    <t>Лящук Николай Сергеевич</t>
  </si>
  <si>
    <t>А828ЕЕ799</t>
  </si>
  <si>
    <t>Краснов Александр Николаевич</t>
  </si>
  <si>
    <t>К183АМ977</t>
  </si>
  <si>
    <t>Петросян Ерванд Айказович</t>
  </si>
  <si>
    <t>50ОУ637069</t>
  </si>
  <si>
    <t>89259050666</t>
  </si>
  <si>
    <t>К182АМ977</t>
  </si>
  <si>
    <t>Зограбян Карен Маисович</t>
  </si>
  <si>
    <t>В343АА977</t>
  </si>
  <si>
    <t>Худченко Сергей Анатольевич</t>
  </si>
  <si>
    <t>9909585204</t>
  </si>
  <si>
    <t>Т708ВК799</t>
  </si>
  <si>
    <t>Урупин Георигий Леонидович</t>
  </si>
  <si>
    <t>6АА153580</t>
  </si>
  <si>
    <t>89684435243</t>
  </si>
  <si>
    <t>Н145НВ799</t>
  </si>
  <si>
    <t>Черненко Константин Георгиевич</t>
  </si>
  <si>
    <t>50ОУ508097</t>
  </si>
  <si>
    <t xml:space="preserve">  В680ЕХ799</t>
  </si>
  <si>
    <t>велесс</t>
  </si>
  <si>
    <t>Федоров Илья Олегович</t>
  </si>
  <si>
    <t>Р711УТ799</t>
  </si>
  <si>
    <t>Фролкин Игорь Игоревич</t>
  </si>
  <si>
    <t>В467ЕЕ799</t>
  </si>
  <si>
    <t>Фоломеев Иван Андреевич</t>
  </si>
  <si>
    <t>Е354РВ799</t>
  </si>
  <si>
    <t>Мальчиков Иван Сергеевич</t>
  </si>
  <si>
    <t>9940737852</t>
  </si>
  <si>
    <t>89854354322</t>
  </si>
  <si>
    <t>Х585УМ799</t>
  </si>
  <si>
    <t>Дорошков Павел Георгиевич</t>
  </si>
  <si>
    <t>Н508РМ799</t>
  </si>
  <si>
    <t>Добровольский Андрей Валерьевич</t>
  </si>
  <si>
    <t>Е198ХА799</t>
  </si>
  <si>
    <t>Ведешкин Павел Сергеевич</t>
  </si>
  <si>
    <t>О227АМ977</t>
  </si>
  <si>
    <r>
      <t>_22/10(</t>
    </r>
    <r>
      <rPr>
        <b/>
        <sz val="10"/>
        <color rgb="FFFF0000"/>
        <rFont val="Arial"/>
        <family val="2"/>
        <charset val="204"/>
      </rPr>
      <t>462381/312</t>
    </r>
    <r>
      <rPr>
        <sz val="10"/>
        <color rgb="FFFF0000"/>
        <rFont val="Arial"/>
        <family val="2"/>
        <charset val="204"/>
      </rPr>
      <t>) Строителей д. 11, корп. 1</t>
    </r>
  </si>
  <si>
    <t>W96</t>
  </si>
  <si>
    <t>"23/10/2025"</t>
  </si>
  <si>
    <t>434</t>
  </si>
  <si>
    <t>389.307849</t>
  </si>
  <si>
    <t>"0720903"</t>
  </si>
  <si>
    <t>"(01.3)"</t>
  </si>
  <si>
    <t>530</t>
  </si>
  <si>
    <t>389.307935</t>
  </si>
  <si>
    <t>"0462702"</t>
  </si>
  <si>
    <t>531</t>
  </si>
  <si>
    <t>"0478638"</t>
  </si>
  <si>
    <t>532</t>
  </si>
  <si>
    <t>"0720979"</t>
  </si>
  <si>
    <r>
      <rPr>
        <b/>
        <sz val="10"/>
        <color rgb="FFFF0000"/>
        <rFont val="Arial"/>
        <family val="2"/>
        <charset val="204"/>
      </rPr>
      <t>возврат</t>
    </r>
    <r>
      <rPr>
        <sz val="10"/>
        <color rgb="FFFF0000"/>
        <rFont val="Arial"/>
        <family val="2"/>
        <charset val="204"/>
      </rPr>
      <t>_Пятницкое ш. 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</si>
</sst>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₽_-;\-* #,##0.00\ _₽_-;_-* &quot;-&quot;??\ _₽_-;_-@_-"/>
    <numFmt numFmtId="165" formatCode="0.00000"/>
    <numFmt numFmtId="166" formatCode="_-* #,##0.0_р_._-;\-* #,##0.0_р_._-;_-* &quot;-&quot;??_р_._-;_-@_-"/>
    <numFmt numFmtId="167" formatCode="h:mm;@"/>
    <numFmt numFmtId="168" formatCode="[$-160463]hh:mm:ss;@"/>
    <numFmt numFmtId="169" formatCode="hh:mm;@"/>
    <numFmt numFmtId="170" formatCode="#,##0;[Red]\-#,###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color indexed="8"/>
      <name val="Tahoma"/>
      <family val="2"/>
    </font>
    <font>
      <sz val="10"/>
      <name val="Arial"/>
      <family val="2"/>
      <charset val="204"/>
    </font>
    <font>
      <sz val="10"/>
      <color indexed="8"/>
      <name val="Tahoma"/>
      <family val="2"/>
      <charset val="1"/>
    </font>
    <font>
      <u/>
      <sz val="7.5"/>
      <color indexed="12"/>
      <name val="Arial Cyr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sz val="11"/>
      <name val="Calibri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0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  <charset val="204"/>
    </font>
    <font>
      <sz val="12"/>
      <color theme="1"/>
      <name val="Arial"/>
      <family val="2"/>
    </font>
    <font>
      <b/>
      <sz val="12"/>
      <color theme="0" tint="-0.499984740745262"/>
      <name val="Arial"/>
      <family val="2"/>
      <charset val="204"/>
    </font>
    <font>
      <u/>
      <sz val="10"/>
      <color rgb="FF0000FF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70C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0"/>
      <color theme="0" tint="-0.499984740745262"/>
      <name val="Arial"/>
      <family val="2"/>
      <charset val="204"/>
    </font>
    <font>
      <sz val="10"/>
      <color theme="0" tint="-0.499984740745262"/>
      <name val="Arial"/>
      <family val="2"/>
      <charset val="204"/>
    </font>
    <font>
      <u/>
      <sz val="10"/>
      <color theme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name val="Arial"/>
      <family val="2"/>
      <charset val="204"/>
    </font>
    <font>
      <sz val="10"/>
      <color rgb="FF000000"/>
      <name val="Tahoma"/>
      <family val="2"/>
      <charset val="204"/>
    </font>
    <font>
      <b/>
      <sz val="10"/>
      <color rgb="FF081DB8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FF0000"/>
      <name val="Arial Cyr"/>
      <charset val="204"/>
    </font>
    <font>
      <b/>
      <sz val="11"/>
      <color theme="1"/>
      <name val="Arial"/>
      <family val="2"/>
      <charset val="204"/>
    </font>
    <font>
      <b/>
      <sz val="10"/>
      <name val="Arial Cyr"/>
      <charset val="204"/>
    </font>
    <font>
      <sz val="10"/>
      <color theme="2" tint="-0.249977111117893"/>
      <name val="Arial"/>
      <family val="2"/>
      <charset val="204"/>
    </font>
    <font>
      <sz val="9"/>
      <color indexed="81"/>
      <name val="Tahoma"/>
      <family val="2"/>
      <charset val="204"/>
    </font>
    <font>
      <sz val="10"/>
      <color rgb="FF00B0F0"/>
      <name val="Arial"/>
      <family val="2"/>
      <charset val="204"/>
    </font>
    <font>
      <b/>
      <sz val="8"/>
      <color theme="1"/>
      <name val="Arial"/>
      <family val="2"/>
      <charset val="204"/>
    </font>
    <font>
      <u/>
      <sz val="8"/>
      <color theme="10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u/>
      <sz val="8"/>
      <color theme="10"/>
      <name val="Calibri"/>
      <family val="2"/>
      <charset val="204"/>
      <scheme val="minor"/>
    </font>
    <font>
      <sz val="8"/>
      <name val="Arial"/>
      <family val="2"/>
    </font>
    <font>
      <sz val="8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rgb="FF0070C0"/>
      <name val="Arial"/>
      <family val="2"/>
      <charset val="204"/>
    </font>
    <font>
      <sz val="10"/>
      <color theme="8" tint="-0.499984740745262"/>
      <name val="Arial"/>
      <family val="2"/>
      <charset val="204"/>
    </font>
    <font>
      <b/>
      <sz val="8"/>
      <color rgb="FFFF0000"/>
      <name val="Arial"/>
      <family val="2"/>
      <charset val="204"/>
    </font>
    <font>
      <sz val="10"/>
      <color theme="0" tint="-0.249977111117893"/>
      <name val="Arial"/>
      <family val="2"/>
      <charset val="204"/>
    </font>
    <font>
      <sz val="10"/>
      <color theme="0" tint="-0.34998626667073579"/>
      <name val="Arial"/>
      <family val="2"/>
      <charset val="204"/>
    </font>
    <font>
      <b/>
      <sz val="10"/>
      <color rgb="FF00B050"/>
      <name val="Arial"/>
      <family val="2"/>
      <charset val="204"/>
    </font>
    <font>
      <sz val="10"/>
      <color rgb="FF00B050"/>
      <name val="Arial"/>
      <family val="2"/>
      <charset val="204"/>
    </font>
    <font>
      <sz val="10"/>
      <color rgb="FF0070C0"/>
      <name val="Arial"/>
      <family val="2"/>
      <charset val="204"/>
    </font>
    <font>
      <sz val="10"/>
      <color rgb="FFCC66FF"/>
      <name val="Arial"/>
      <family val="2"/>
      <charset val="204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FD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6">
    <xf numFmtId="0" fontId="0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21" fillId="0" borderId="0"/>
    <xf numFmtId="0" fontId="22" fillId="0" borderId="0"/>
    <xf numFmtId="0" fontId="17" fillId="0" borderId="0"/>
    <xf numFmtId="0" fontId="22" fillId="0" borderId="0"/>
    <xf numFmtId="0" fontId="13" fillId="0" borderId="0"/>
    <xf numFmtId="0" fontId="14" fillId="0" borderId="0"/>
    <xf numFmtId="0" fontId="15" fillId="0" borderId="0"/>
    <xf numFmtId="0" fontId="16" fillId="0" borderId="0"/>
    <xf numFmtId="0" fontId="12" fillId="0" borderId="0"/>
    <xf numFmtId="0" fontId="6" fillId="0" borderId="0"/>
    <xf numFmtId="0" fontId="13" fillId="0" borderId="0"/>
    <xf numFmtId="164" fontId="17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17" fillId="0" borderId="0"/>
    <xf numFmtId="0" fontId="3" fillId="0" borderId="0"/>
    <xf numFmtId="0" fontId="1" fillId="0" borderId="0"/>
    <xf numFmtId="0" fontId="16" fillId="0" borderId="0"/>
    <xf numFmtId="0" fontId="16" fillId="0" borderId="0"/>
  </cellStyleXfs>
  <cellXfs count="197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 applyAlignment="1">
      <alignment vertical="center"/>
    </xf>
    <xf numFmtId="0" fontId="25" fillId="3" borderId="1" xfId="1" applyFont="1" applyFill="1" applyBorder="1" applyAlignment="1" applyProtection="1">
      <alignment horizontal="left" vertical="center"/>
    </xf>
    <xf numFmtId="0" fontId="26" fillId="0" borderId="1" xfId="5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12" fillId="0" borderId="0" xfId="14" applyAlignment="1">
      <alignment vertical="center"/>
    </xf>
    <xf numFmtId="0" fontId="8" fillId="0" borderId="0" xfId="14" applyFont="1" applyAlignment="1">
      <alignment vertical="center"/>
    </xf>
    <xf numFmtId="0" fontId="12" fillId="0" borderId="0" xfId="15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65" fontId="28" fillId="0" borderId="0" xfId="0" applyNumberFormat="1" applyFont="1" applyAlignment="1">
      <alignment vertical="center"/>
    </xf>
    <xf numFmtId="0" fontId="28" fillId="0" borderId="0" xfId="0" applyFont="1" applyAlignment="1">
      <alignment horizontal="center" vertical="center"/>
    </xf>
    <xf numFmtId="0" fontId="8" fillId="0" borderId="0" xfId="15" applyFont="1" applyAlignment="1">
      <alignment vertical="center"/>
    </xf>
    <xf numFmtId="0" fontId="8" fillId="0" borderId="0" xfId="16" applyFont="1" applyAlignment="1">
      <alignment vertical="center"/>
    </xf>
    <xf numFmtId="0" fontId="28" fillId="0" borderId="0" xfId="0" applyFont="1" applyAlignment="1">
      <alignment vertical="center"/>
    </xf>
    <xf numFmtId="0" fontId="8" fillId="0" borderId="0" xfId="13" applyFont="1" applyAlignment="1">
      <alignment vertical="center"/>
    </xf>
    <xf numFmtId="0" fontId="11" fillId="0" borderId="0" xfId="0" applyFont="1" applyAlignment="1">
      <alignment horizontal="center" vertical="center" textRotation="90" wrapText="1"/>
    </xf>
    <xf numFmtId="0" fontId="2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center"/>
    </xf>
    <xf numFmtId="166" fontId="8" fillId="4" borderId="0" xfId="17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26" fillId="0" borderId="0" xfId="5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14" applyFont="1" applyBorder="1" applyAlignment="1">
      <alignment vertical="center"/>
    </xf>
    <xf numFmtId="0" fontId="29" fillId="3" borderId="3" xfId="5" applyFont="1" applyFill="1" applyBorder="1" applyAlignment="1">
      <alignment horizontal="center" vertical="center" wrapText="1"/>
    </xf>
    <xf numFmtId="0" fontId="34" fillId="3" borderId="3" xfId="1" applyFont="1" applyFill="1" applyBorder="1" applyAlignment="1" applyProtection="1">
      <alignment horizontal="center" vertical="center"/>
    </xf>
    <xf numFmtId="0" fontId="34" fillId="3" borderId="2" xfId="1" applyFont="1" applyFill="1" applyBorder="1" applyAlignment="1" applyProtection="1">
      <alignment horizontal="center" vertical="center"/>
    </xf>
    <xf numFmtId="0" fontId="34" fillId="3" borderId="2" xfId="1" applyFont="1" applyFill="1" applyBorder="1" applyAlignment="1" applyProtection="1">
      <alignment horizontal="left" vertical="center"/>
    </xf>
    <xf numFmtId="0" fontId="34" fillId="4" borderId="2" xfId="1" applyFont="1" applyFill="1" applyBorder="1" applyAlignment="1" applyProtection="1">
      <alignment horizontal="left" vertical="center"/>
    </xf>
    <xf numFmtId="0" fontId="34" fillId="0" borderId="2" xfId="1" applyFont="1" applyBorder="1" applyAlignment="1" applyProtection="1">
      <alignment horizontal="left" vertical="center"/>
    </xf>
    <xf numFmtId="0" fontId="35" fillId="0" borderId="2" xfId="5" applyFont="1" applyBorder="1" applyAlignment="1">
      <alignment vertical="center"/>
    </xf>
    <xf numFmtId="0" fontId="33" fillId="0" borderId="2" xfId="5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left" vertical="center"/>
    </xf>
    <xf numFmtId="0" fontId="35" fillId="0" borderId="0" xfId="5" applyFont="1" applyAlignment="1">
      <alignment vertical="center"/>
    </xf>
    <xf numFmtId="0" fontId="35" fillId="4" borderId="2" xfId="5" applyFont="1" applyFill="1" applyBorder="1" applyAlignment="1">
      <alignment vertical="center"/>
    </xf>
    <xf numFmtId="0" fontId="16" fillId="0" borderId="0" xfId="13" applyAlignment="1">
      <alignment vertical="center"/>
    </xf>
    <xf numFmtId="0" fontId="0" fillId="0" borderId="0" xfId="0" applyAlignment="1">
      <alignment vertical="center"/>
    </xf>
    <xf numFmtId="0" fontId="38" fillId="6" borderId="0" xfId="0" applyFont="1" applyFill="1" applyAlignment="1">
      <alignment horizontal="center" vertical="center" wrapText="1"/>
    </xf>
    <xf numFmtId="0" fontId="19" fillId="0" borderId="2" xfId="1" applyFill="1" applyBorder="1" applyAlignment="1">
      <alignment horizontal="center" vertical="center"/>
    </xf>
    <xf numFmtId="0" fontId="18" fillId="0" borderId="2" xfId="5" applyBorder="1" applyAlignment="1">
      <alignment vertical="center"/>
    </xf>
    <xf numFmtId="0" fontId="29" fillId="5" borderId="2" xfId="5" applyFont="1" applyFill="1" applyBorder="1" applyAlignment="1">
      <alignment horizontal="center" vertical="center" wrapText="1"/>
    </xf>
    <xf numFmtId="0" fontId="23" fillId="0" borderId="2" xfId="5" applyFont="1" applyBorder="1" applyAlignment="1">
      <alignment vertical="center"/>
    </xf>
    <xf numFmtId="0" fontId="40" fillId="0" borderId="0" xfId="13" applyFont="1" applyAlignment="1">
      <alignment vertical="center"/>
    </xf>
    <xf numFmtId="0" fontId="0" fillId="12" borderId="0" xfId="0" applyFill="1"/>
    <xf numFmtId="0" fontId="2" fillId="3" borderId="0" xfId="0" applyFont="1" applyFill="1"/>
    <xf numFmtId="0" fontId="41" fillId="3" borderId="0" xfId="0" applyFont="1" applyFill="1" applyAlignment="1">
      <alignment horizontal="center" vertical="center"/>
    </xf>
    <xf numFmtId="0" fontId="19" fillId="3" borderId="0" xfId="1" applyNumberFormat="1" applyFill="1" applyAlignment="1">
      <alignment vertical="center"/>
    </xf>
    <xf numFmtId="1" fontId="12" fillId="9" borderId="0" xfId="14" applyNumberFormat="1" applyFill="1" applyAlignment="1">
      <alignment vertical="center"/>
    </xf>
    <xf numFmtId="0" fontId="28" fillId="0" borderId="0" xfId="14" applyFont="1" applyAlignment="1">
      <alignment horizontal="center" vertical="center"/>
    </xf>
    <xf numFmtId="0" fontId="16" fillId="0" borderId="0" xfId="13"/>
    <xf numFmtId="0" fontId="12" fillId="0" borderId="0" xfId="14" applyAlignment="1">
      <alignment horizontal="left" vertical="center"/>
    </xf>
    <xf numFmtId="0" fontId="28" fillId="0" borderId="0" xfId="14" applyFont="1" applyAlignment="1">
      <alignment vertical="center"/>
    </xf>
    <xf numFmtId="0" fontId="36" fillId="0" borderId="0" xfId="0" applyFont="1" applyAlignment="1">
      <alignment vertical="center"/>
    </xf>
    <xf numFmtId="167" fontId="8" fillId="0" borderId="0" xfId="0" applyNumberFormat="1" applyFont="1" applyAlignment="1">
      <alignment horizontal="center" vertical="center"/>
    </xf>
    <xf numFmtId="0" fontId="12" fillId="0" borderId="0" xfId="14"/>
    <xf numFmtId="0" fontId="28" fillId="0" borderId="0" xfId="0" applyFont="1" applyAlignment="1">
      <alignment horizontal="left" vertical="center"/>
    </xf>
    <xf numFmtId="167" fontId="8" fillId="0" borderId="0" xfId="0" applyNumberFormat="1" applyFont="1" applyAlignment="1">
      <alignment vertical="center"/>
    </xf>
    <xf numFmtId="167" fontId="11" fillId="0" borderId="0" xfId="5" applyNumberFormat="1" applyFont="1" applyAlignment="1">
      <alignment horizontal="center" vertical="center" wrapText="1"/>
    </xf>
    <xf numFmtId="168" fontId="0" fillId="0" borderId="0" xfId="0" applyNumberFormat="1"/>
    <xf numFmtId="0" fontId="42" fillId="8" borderId="0" xfId="13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10" borderId="0" xfId="0" applyFont="1" applyFill="1" applyAlignment="1">
      <alignment vertical="center"/>
    </xf>
    <xf numFmtId="0" fontId="29" fillId="8" borderId="0" xfId="0" applyFont="1" applyFill="1" applyAlignment="1">
      <alignment vertical="center"/>
    </xf>
    <xf numFmtId="0" fontId="39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1" fontId="12" fillId="15" borderId="0" xfId="14" applyNumberFormat="1" applyFill="1" applyAlignment="1">
      <alignment vertical="center"/>
    </xf>
    <xf numFmtId="49" fontId="11" fillId="14" borderId="9" xfId="24" applyNumberFormat="1" applyFont="1" applyFill="1" applyBorder="1" applyAlignment="1">
      <alignment horizontal="center" vertical="center"/>
    </xf>
    <xf numFmtId="49" fontId="11" fillId="14" borderId="9" xfId="24" applyNumberFormat="1" applyFont="1" applyFill="1" applyBorder="1" applyAlignment="1">
      <alignment horizontal="center" vertical="center" wrapText="1"/>
    </xf>
    <xf numFmtId="0" fontId="11" fillId="14" borderId="9" xfId="24" applyFont="1" applyFill="1" applyBorder="1" applyAlignment="1">
      <alignment horizontal="center" vertical="center" wrapText="1"/>
    </xf>
    <xf numFmtId="0" fontId="8" fillId="0" borderId="0" xfId="24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35" fillId="0" borderId="0" xfId="0" applyFont="1"/>
    <xf numFmtId="0" fontId="11" fillId="16" borderId="0" xfId="0" applyFont="1" applyFill="1" applyAlignment="1">
      <alignment horizontal="center" vertical="center" wrapText="1"/>
    </xf>
    <xf numFmtId="0" fontId="11" fillId="16" borderId="0" xfId="0" applyFont="1" applyFill="1" applyAlignment="1">
      <alignment horizontal="center" vertical="center"/>
    </xf>
    <xf numFmtId="169" fontId="8" fillId="0" borderId="0" xfId="24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69" fontId="35" fillId="0" borderId="0" xfId="0" applyNumberFormat="1" applyFont="1"/>
    <xf numFmtId="0" fontId="35" fillId="0" borderId="0" xfId="0" applyFont="1" applyAlignment="1">
      <alignment horizontal="center"/>
    </xf>
    <xf numFmtId="0" fontId="35" fillId="0" borderId="0" xfId="0" applyFont="1" applyAlignment="1">
      <alignment horizontal="left"/>
    </xf>
    <xf numFmtId="0" fontId="0" fillId="0" borderId="0" xfId="0" applyAlignment="1">
      <alignment horizontal="center"/>
    </xf>
    <xf numFmtId="1" fontId="28" fillId="9" borderId="0" xfId="14" applyNumberFormat="1" applyFont="1" applyFill="1" applyAlignment="1">
      <alignment vertical="center"/>
    </xf>
    <xf numFmtId="1" fontId="28" fillId="15" borderId="0" xfId="14" applyNumberFormat="1" applyFont="1" applyFill="1" applyAlignment="1">
      <alignment vertical="center"/>
    </xf>
    <xf numFmtId="1" fontId="8" fillId="9" borderId="0" xfId="14" applyNumberFormat="1" applyFont="1" applyFill="1" applyAlignment="1">
      <alignment vertical="center"/>
    </xf>
    <xf numFmtId="1" fontId="8" fillId="15" borderId="0" xfId="14" applyNumberFormat="1" applyFont="1" applyFill="1" applyAlignment="1">
      <alignment vertical="center"/>
    </xf>
    <xf numFmtId="38" fontId="8" fillId="18" borderId="0" xfId="0" applyNumberFormat="1" applyFont="1" applyFill="1" applyAlignment="1">
      <alignment horizontal="center" vertical="center"/>
    </xf>
    <xf numFmtId="0" fontId="8" fillId="18" borderId="0" xfId="0" applyFont="1" applyFill="1" applyAlignment="1">
      <alignment vertical="center"/>
    </xf>
    <xf numFmtId="1" fontId="45" fillId="9" borderId="0" xfId="14" applyNumberFormat="1" applyFont="1" applyFill="1" applyAlignment="1">
      <alignment vertical="center"/>
    </xf>
    <xf numFmtId="0" fontId="8" fillId="19" borderId="0" xfId="0" applyFont="1" applyFill="1" applyAlignment="1">
      <alignment horizontal="center" vertical="center"/>
    </xf>
    <xf numFmtId="0" fontId="47" fillId="3" borderId="2" xfId="1" applyFont="1" applyFill="1" applyBorder="1" applyAlignment="1" applyProtection="1">
      <alignment horizontal="left" vertical="center"/>
    </xf>
    <xf numFmtId="0" fontId="48" fillId="0" borderId="2" xfId="5" applyFont="1" applyBorder="1" applyAlignment="1">
      <alignment vertical="center"/>
    </xf>
    <xf numFmtId="0" fontId="52" fillId="0" borderId="2" xfId="5" applyFont="1" applyBorder="1" applyAlignment="1">
      <alignment vertical="center"/>
    </xf>
    <xf numFmtId="0" fontId="52" fillId="4" borderId="2" xfId="5" applyFont="1" applyFill="1" applyBorder="1" applyAlignment="1">
      <alignment vertical="center"/>
    </xf>
    <xf numFmtId="0" fontId="52" fillId="11" borderId="2" xfId="5" applyFont="1" applyFill="1" applyBorder="1" applyAlignment="1">
      <alignment vertical="center"/>
    </xf>
    <xf numFmtId="0" fontId="52" fillId="8" borderId="2" xfId="5" applyFont="1" applyFill="1" applyBorder="1" applyAlignment="1">
      <alignment vertical="center"/>
    </xf>
    <xf numFmtId="0" fontId="53" fillId="4" borderId="2" xfId="5" applyFont="1" applyFill="1" applyBorder="1" applyAlignment="1">
      <alignment vertical="center"/>
    </xf>
    <xf numFmtId="0" fontId="54" fillId="4" borderId="2" xfId="5" applyFont="1" applyFill="1" applyBorder="1" applyAlignment="1">
      <alignment vertical="center"/>
    </xf>
    <xf numFmtId="0" fontId="49" fillId="18" borderId="0" xfId="0" applyFont="1" applyFill="1" applyAlignment="1">
      <alignment vertical="center"/>
    </xf>
    <xf numFmtId="0" fontId="46" fillId="18" borderId="3" xfId="5" applyFont="1" applyFill="1" applyBorder="1" applyAlignment="1">
      <alignment horizontal="center" vertical="center" wrapText="1"/>
    </xf>
    <xf numFmtId="0" fontId="55" fillId="18" borderId="0" xfId="0" applyFont="1" applyFill="1" applyAlignment="1">
      <alignment horizontal="center" vertical="center" wrapText="1"/>
    </xf>
    <xf numFmtId="0" fontId="49" fillId="0" borderId="0" xfId="0" applyFont="1" applyAlignment="1">
      <alignment vertical="center"/>
    </xf>
    <xf numFmtId="38" fontId="27" fillId="18" borderId="0" xfId="0" applyNumberFormat="1" applyFont="1" applyFill="1" applyAlignment="1">
      <alignment horizontal="center" vertical="center" wrapText="1"/>
    </xf>
    <xf numFmtId="38" fontId="11" fillId="18" borderId="0" xfId="0" applyNumberFormat="1" applyFont="1" applyFill="1" applyAlignment="1">
      <alignment horizontal="center" vertical="center" textRotation="90"/>
    </xf>
    <xf numFmtId="167" fontId="56" fillId="0" borderId="0" xfId="0" applyNumberFormat="1" applyFont="1" applyAlignment="1">
      <alignment horizontal="center" vertical="center"/>
    </xf>
    <xf numFmtId="0" fontId="29" fillId="5" borderId="3" xfId="5" applyFont="1" applyFill="1" applyBorder="1" applyAlignment="1">
      <alignment horizontal="center" vertical="center" wrapText="1"/>
    </xf>
    <xf numFmtId="0" fontId="34" fillId="3" borderId="3" xfId="1" applyFont="1" applyFill="1" applyBorder="1" applyAlignment="1" applyProtection="1">
      <alignment horizontal="left" vertical="center"/>
    </xf>
    <xf numFmtId="0" fontId="35" fillId="0" borderId="3" xfId="5" applyFont="1" applyBorder="1" applyAlignment="1">
      <alignment vertical="center"/>
    </xf>
    <xf numFmtId="0" fontId="39" fillId="0" borderId="0" xfId="0" applyFont="1" applyAlignment="1">
      <alignment horizontal="left" vertical="center"/>
    </xf>
    <xf numFmtId="49" fontId="11" fillId="0" borderId="0" xfId="5" applyNumberFormat="1" applyFont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 wrapText="1"/>
    </xf>
    <xf numFmtId="49" fontId="56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vertical="center"/>
    </xf>
    <xf numFmtId="170" fontId="8" fillId="18" borderId="0" xfId="0" applyNumberFormat="1" applyFont="1" applyFill="1" applyAlignment="1">
      <alignment horizontal="center" vertical="center"/>
    </xf>
    <xf numFmtId="0" fontId="11" fillId="8" borderId="0" xfId="0" applyFont="1" applyFill="1" applyAlignment="1">
      <alignment vertical="center"/>
    </xf>
    <xf numFmtId="38" fontId="8" fillId="7" borderId="0" xfId="0" applyNumberFormat="1" applyFont="1" applyFill="1" applyAlignment="1">
      <alignment horizontal="center" vertical="center"/>
    </xf>
    <xf numFmtId="38" fontId="11" fillId="7" borderId="0" xfId="0" applyNumberFormat="1" applyFont="1" applyFill="1" applyAlignment="1">
      <alignment horizontal="center" vertical="center" textRotation="90"/>
    </xf>
    <xf numFmtId="38" fontId="27" fillId="7" borderId="0" xfId="0" applyNumberFormat="1" applyFont="1" applyFill="1" applyAlignment="1">
      <alignment horizontal="center" vertical="center" wrapText="1"/>
    </xf>
    <xf numFmtId="0" fontId="8" fillId="7" borderId="0" xfId="0" applyFont="1" applyFill="1" applyAlignment="1">
      <alignment vertical="center"/>
    </xf>
    <xf numFmtId="170" fontId="8" fillId="7" borderId="0" xfId="0" applyNumberFormat="1" applyFont="1" applyFill="1" applyAlignment="1">
      <alignment horizontal="center" vertical="center"/>
    </xf>
    <xf numFmtId="0" fontId="57" fillId="0" borderId="2" xfId="5" applyFont="1" applyBorder="1" applyAlignment="1">
      <alignment vertical="center"/>
    </xf>
    <xf numFmtId="0" fontId="58" fillId="0" borderId="0" xfId="0" applyFont="1" applyAlignment="1">
      <alignment vertical="center"/>
    </xf>
    <xf numFmtId="0" fontId="0" fillId="0" borderId="0" xfId="0" applyAlignment="1">
      <alignment horizontal="left"/>
    </xf>
    <xf numFmtId="0" fontId="11" fillId="13" borderId="0" xfId="0" applyFont="1" applyFill="1" applyAlignment="1">
      <alignment horizontal="center" vertical="center" wrapText="1"/>
    </xf>
    <xf numFmtId="0" fontId="38" fillId="13" borderId="0" xfId="0" applyFont="1" applyFill="1" applyAlignment="1">
      <alignment horizontal="center" vertical="center" wrapText="1"/>
    </xf>
    <xf numFmtId="49" fontId="0" fillId="0" borderId="0" xfId="0" applyNumberFormat="1"/>
    <xf numFmtId="49" fontId="11" fillId="17" borderId="9" xfId="0" applyNumberFormat="1" applyFont="1" applyFill="1" applyBorder="1" applyAlignment="1">
      <alignment horizontal="center" vertical="center" wrapText="1"/>
    </xf>
    <xf numFmtId="49" fontId="27" fillId="6" borderId="0" xfId="0" applyNumberFormat="1" applyFont="1" applyFill="1" applyAlignment="1">
      <alignment horizontal="center" vertical="center" wrapText="1"/>
    </xf>
    <xf numFmtId="0" fontId="59" fillId="0" borderId="0" xfId="0" applyFont="1" applyAlignment="1">
      <alignment vertical="center"/>
    </xf>
    <xf numFmtId="1" fontId="28" fillId="20" borderId="0" xfId="14" applyNumberFormat="1" applyFont="1" applyFill="1" applyAlignment="1">
      <alignment vertical="center"/>
    </xf>
    <xf numFmtId="0" fontId="8" fillId="13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1" fontId="60" fillId="0" borderId="0" xfId="0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0" fillId="3" borderId="0" xfId="5" applyFont="1" applyFill="1" applyAlignment="1">
      <alignment horizontal="center" vertical="center" wrapText="1"/>
    </xf>
    <xf numFmtId="0" fontId="50" fillId="3" borderId="2" xfId="5" applyFont="1" applyFill="1" applyBorder="1" applyAlignment="1">
      <alignment horizontal="center" vertical="center" wrapText="1"/>
    </xf>
    <xf numFmtId="0" fontId="51" fillId="3" borderId="2" xfId="1" applyFont="1" applyFill="1" applyBorder="1" applyAlignment="1">
      <alignment vertical="center"/>
    </xf>
    <xf numFmtId="0" fontId="34" fillId="0" borderId="0" xfId="1" applyFont="1" applyFill="1" applyBorder="1" applyAlignment="1" applyProtection="1">
      <alignment horizontal="center" vertical="center"/>
    </xf>
    <xf numFmtId="0" fontId="35" fillId="0" borderId="0" xfId="5" applyFont="1" applyAlignment="1">
      <alignment horizontal="right" vertical="center"/>
    </xf>
    <xf numFmtId="20" fontId="28" fillId="0" borderId="0" xfId="5" applyNumberFormat="1" applyFont="1" applyAlignment="1">
      <alignment horizontal="right" vertical="center"/>
    </xf>
    <xf numFmtId="49" fontId="56" fillId="8" borderId="0" xfId="0" applyNumberFormat="1" applyFont="1" applyFill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34" fillId="0" borderId="8" xfId="2" applyFont="1" applyFill="1" applyBorder="1" applyAlignment="1">
      <alignment horizontal="center" vertical="center"/>
    </xf>
    <xf numFmtId="0" fontId="11" fillId="17" borderId="9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center" vertical="center" wrapText="1"/>
    </xf>
    <xf numFmtId="0" fontId="60" fillId="0" borderId="0" xfId="5" applyFont="1" applyAlignment="1">
      <alignment horizontal="center" vertical="center" wrapText="1"/>
    </xf>
    <xf numFmtId="0" fontId="61" fillId="0" borderId="0" xfId="5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12" fillId="0" borderId="1" xfId="14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165" fontId="28" fillId="8" borderId="0" xfId="0" applyNumberFormat="1" applyFont="1" applyFill="1" applyAlignment="1">
      <alignment horizontal="center" vertical="center"/>
    </xf>
    <xf numFmtId="165" fontId="45" fillId="0" borderId="0" xfId="0" applyNumberFormat="1" applyFont="1" applyAlignment="1">
      <alignment vertical="center"/>
    </xf>
    <xf numFmtId="165" fontId="28" fillId="0" borderId="0" xfId="0" applyNumberFormat="1" applyFont="1" applyAlignment="1">
      <alignment horizontal="right" vertical="center"/>
    </xf>
    <xf numFmtId="0" fontId="11" fillId="16" borderId="0" xfId="0" applyFont="1" applyFill="1" applyAlignment="1">
      <alignment horizontal="center" vertical="center" textRotation="90"/>
    </xf>
    <xf numFmtId="0" fontId="8" fillId="16" borderId="0" xfId="0" applyFont="1" applyFill="1" applyAlignment="1">
      <alignment vertical="center"/>
    </xf>
    <xf numFmtId="0" fontId="8" fillId="16" borderId="0" xfId="0" applyFont="1" applyFill="1" applyAlignment="1">
      <alignment horizontal="center" vertical="center"/>
    </xf>
    <xf numFmtId="0" fontId="12" fillId="0" borderId="0" xfId="14" applyAlignment="1">
      <alignment horizontal="center" vertical="center"/>
    </xf>
    <xf numFmtId="0" fontId="64" fillId="0" borderId="0" xfId="0" applyFont="1"/>
    <xf numFmtId="20" fontId="63" fillId="0" borderId="0" xfId="5" applyNumberFormat="1" applyFont="1" applyAlignment="1">
      <alignment horizontal="right" vertical="center"/>
    </xf>
    <xf numFmtId="1" fontId="28" fillId="0" borderId="0" xfId="14" applyNumberFormat="1" applyFont="1" applyAlignment="1">
      <alignment vertical="center"/>
    </xf>
    <xf numFmtId="170" fontId="8" fillId="0" borderId="0" xfId="0" applyNumberFormat="1" applyFont="1" applyAlignment="1">
      <alignment horizontal="center" vertical="center"/>
    </xf>
    <xf numFmtId="38" fontId="8" fillId="0" borderId="0" xfId="0" applyNumberFormat="1" applyFont="1" applyAlignment="1">
      <alignment horizontal="center" vertical="center"/>
    </xf>
    <xf numFmtId="1" fontId="8" fillId="0" borderId="0" xfId="14" applyNumberFormat="1" applyFont="1" applyAlignment="1">
      <alignment vertical="center"/>
    </xf>
    <xf numFmtId="165" fontId="28" fillId="21" borderId="0" xfId="0" applyNumberFormat="1" applyFont="1" applyFill="1" applyAlignment="1">
      <alignment horizontal="center" vertical="center"/>
    </xf>
    <xf numFmtId="165" fontId="28" fillId="21" borderId="0" xfId="0" applyNumberFormat="1" applyFont="1" applyFill="1" applyAlignment="1">
      <alignment horizontal="right" vertical="center"/>
    </xf>
    <xf numFmtId="0" fontId="28" fillId="21" borderId="0" xfId="0" applyFont="1" applyFill="1" applyAlignment="1">
      <alignment horizontal="center" vertical="center"/>
    </xf>
    <xf numFmtId="0" fontId="28" fillId="21" borderId="0" xfId="14" applyFont="1" applyFill="1" applyAlignment="1">
      <alignment horizontal="right" vertical="center"/>
    </xf>
    <xf numFmtId="165" fontId="28" fillId="0" borderId="0" xfId="0" applyNumberFormat="1" applyFont="1" applyAlignment="1">
      <alignment horizontal="left" vertical="center"/>
    </xf>
    <xf numFmtId="0" fontId="62" fillId="0" borderId="1" xfId="5" applyFont="1" applyBorder="1" applyAlignment="1">
      <alignment vertical="center"/>
    </xf>
    <xf numFmtId="0" fontId="62" fillId="0" borderId="0" xfId="5" applyFont="1" applyAlignment="1">
      <alignment vertical="center"/>
    </xf>
    <xf numFmtId="20" fontId="35" fillId="0" borderId="0" xfId="5" applyNumberFormat="1" applyFont="1" applyAlignment="1">
      <alignment horizontal="right" vertical="center"/>
    </xf>
    <xf numFmtId="167" fontId="28" fillId="0" borderId="0" xfId="0" applyNumberFormat="1" applyFont="1" applyAlignment="1">
      <alignment horizontal="center" vertical="center"/>
    </xf>
    <xf numFmtId="168" fontId="8" fillId="0" borderId="0" xfId="0" applyNumberFormat="1" applyFont="1" applyAlignment="1">
      <alignment vertical="center"/>
    </xf>
    <xf numFmtId="168" fontId="8" fillId="0" borderId="0" xfId="0" applyNumberFormat="1" applyFont="1" applyAlignment="1">
      <alignment horizontal="center" vertical="center" wrapText="1"/>
    </xf>
    <xf numFmtId="0" fontId="28" fillId="0" borderId="1" xfId="14" applyFont="1" applyBorder="1" applyAlignment="1">
      <alignment vertical="center"/>
    </xf>
    <xf numFmtId="49" fontId="35" fillId="0" borderId="0" xfId="0" applyNumberFormat="1" applyFont="1" applyAlignment="1">
      <alignment horizontal="center" vertical="center"/>
    </xf>
    <xf numFmtId="49" fontId="16" fillId="0" borderId="0" xfId="25" applyNumberFormat="1"/>
    <xf numFmtId="0" fontId="16" fillId="0" borderId="0" xfId="25"/>
    <xf numFmtId="0" fontId="46" fillId="3" borderId="2" xfId="5" applyFont="1" applyFill="1" applyBorder="1" applyAlignment="1">
      <alignment horizontal="center" vertical="center" wrapText="1"/>
    </xf>
    <xf numFmtId="0" fontId="29" fillId="0" borderId="0" xfId="5" applyFont="1" applyAlignment="1">
      <alignment horizontal="center" vertical="center" wrapText="1"/>
    </xf>
    <xf numFmtId="0" fontId="29" fillId="5" borderId="2" xfId="5" applyFont="1" applyFill="1" applyBorder="1" applyAlignment="1">
      <alignment horizontal="center" vertical="center" wrapText="1"/>
    </xf>
    <xf numFmtId="0" fontId="29" fillId="5" borderId="10" xfId="5" applyFont="1" applyFill="1" applyBorder="1" applyAlignment="1">
      <alignment horizontal="center" vertical="center" wrapText="1"/>
    </xf>
    <xf numFmtId="0" fontId="29" fillId="3" borderId="2" xfId="5" applyFont="1" applyFill="1" applyBorder="1" applyAlignment="1">
      <alignment horizontal="center" vertical="center" wrapText="1"/>
    </xf>
    <xf numFmtId="0" fontId="29" fillId="3" borderId="4" xfId="5" applyFont="1" applyFill="1" applyBorder="1" applyAlignment="1">
      <alignment horizontal="center" vertical="center" wrapText="1"/>
    </xf>
    <xf numFmtId="0" fontId="29" fillId="3" borderId="5" xfId="5" applyFont="1" applyFill="1" applyBorder="1" applyAlignment="1">
      <alignment horizontal="center" vertical="center" wrapText="1"/>
    </xf>
    <xf numFmtId="0" fontId="30" fillId="3" borderId="1" xfId="5" applyFont="1" applyFill="1" applyBorder="1" applyAlignment="1">
      <alignment horizontal="center" vertical="center" wrapText="1"/>
    </xf>
    <xf numFmtId="0" fontId="11" fillId="3" borderId="2" xfId="5" applyFont="1" applyFill="1" applyBorder="1" applyAlignment="1">
      <alignment horizontal="center" vertical="center" wrapText="1"/>
    </xf>
    <xf numFmtId="0" fontId="29" fillId="4" borderId="2" xfId="5" applyFont="1" applyFill="1" applyBorder="1" applyAlignment="1">
      <alignment horizontal="center" vertical="center" wrapText="1"/>
    </xf>
    <xf numFmtId="0" fontId="32" fillId="0" borderId="2" xfId="5" applyFont="1" applyBorder="1" applyAlignment="1">
      <alignment horizontal="center" vertical="center" wrapText="1"/>
    </xf>
    <xf numFmtId="0" fontId="33" fillId="0" borderId="2" xfId="5" applyFont="1" applyBorder="1" applyAlignment="1">
      <alignment vertical="center"/>
    </xf>
    <xf numFmtId="0" fontId="29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24" fillId="0" borderId="2" xfId="5" applyFont="1" applyBorder="1" applyAlignment="1">
      <alignment horizontal="center" vertical="center" wrapText="1"/>
    </xf>
  </cellXfs>
  <cellStyles count="26">
    <cellStyle name="Comma" xfId="17" builtinId="3"/>
    <cellStyle name="Hyperlink" xfId="1" builtinId="8"/>
    <cellStyle name="Normal" xfId="0" builtinId="0"/>
    <cellStyle name="Гиперссылка 2" xfId="2" xr:uid="{00000000-0005-0000-0000-000001000000}"/>
    <cellStyle name="Гиперссылка 2 2" xfId="3" xr:uid="{00000000-0005-0000-0000-000002000000}"/>
    <cellStyle name="Гиперссылка 3" xfId="4" xr:uid="{00000000-0005-0000-0000-000003000000}"/>
    <cellStyle name="Обычный 2" xfId="5" xr:uid="{00000000-0005-0000-0000-000005000000}"/>
    <cellStyle name="Обычный 2 2" xfId="6" xr:uid="{00000000-0005-0000-0000-000006000000}"/>
    <cellStyle name="Обычный 2 3" xfId="18" xr:uid="{00000000-0005-0000-0000-000007000000}"/>
    <cellStyle name="Обычный 2 3 2" xfId="22" xr:uid="{00000000-0005-0000-0000-000008000000}"/>
    <cellStyle name="Обычный 2 4" xfId="19" xr:uid="{00000000-0005-0000-0000-000009000000}"/>
    <cellStyle name="Обычный 2 5" xfId="20" xr:uid="{00000000-0005-0000-0000-00000A000000}"/>
    <cellStyle name="Обычный 2 6" xfId="21" xr:uid="{00000000-0005-0000-0000-00000B000000}"/>
    <cellStyle name="Обычный 2 7" xfId="23" xr:uid="{00000000-0005-0000-0000-00000C000000}"/>
    <cellStyle name="Обычный 3" xfId="7" xr:uid="{00000000-0005-0000-0000-00000D000000}"/>
    <cellStyle name="Обычный 3 2" xfId="8" xr:uid="{00000000-0005-0000-0000-00000E000000}"/>
    <cellStyle name="Обычный 4" xfId="9" xr:uid="{00000000-0005-0000-0000-00000F000000}"/>
    <cellStyle name="Обычный 5" xfId="10" xr:uid="{00000000-0005-0000-0000-000010000000}"/>
    <cellStyle name="Обычный 6" xfId="11" xr:uid="{00000000-0005-0000-0000-000011000000}"/>
    <cellStyle name="Обычный 7" xfId="12" xr:uid="{00000000-0005-0000-0000-000012000000}"/>
    <cellStyle name="Обычный_Orders" xfId="13" xr:uid="{00000000-0005-0000-0000-000013000000}"/>
    <cellStyle name="Обычный_ДЛЯ ДОМИНО" xfId="25" xr:uid="{00000000-0005-0000-0000-000014000000}"/>
    <cellStyle name="Обычный_Загрузка" xfId="24" xr:uid="{00000000-0005-0000-0000-000015000000}"/>
    <cellStyle name="Обычный_Лист1" xfId="14" xr:uid="{00000000-0005-0000-0000-000016000000}"/>
    <cellStyle name="Обычный_Лист1_1" xfId="15" xr:uid="{00000000-0005-0000-0000-000017000000}"/>
    <cellStyle name="Обычный_Лист1_2" xfId="16" xr:uid="{00000000-0005-0000-0000-000018000000}"/>
  </cellStyles>
  <dxfs count="0"/>
  <tableStyles count="0" defaultTableStyle="TableStyleMedium2" defaultPivotStyle="PivotStyleMedium9"/>
  <colors>
    <mruColors>
      <color rgb="FFFFCCFF"/>
      <color rgb="FFFFFFCC"/>
      <color rgb="FFCC66FF"/>
      <color rgb="FFCCFF99"/>
      <color rgb="FFFF99FF"/>
      <color rgb="FFFFCCCC"/>
      <color rgb="FFFFD243"/>
      <color rgb="FFCC99FF"/>
      <color rgb="FF00FF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andex.ru/routing/doc/vrp/concepts/properties-of-vehicles.html" TargetMode="External"/><Relationship Id="rId13" Type="http://schemas.openxmlformats.org/officeDocument/2006/relationships/hyperlink" Target="https://yandex.ru/routing/doc/vrp/concepts/properties-of-orders.html" TargetMode="External"/><Relationship Id="rId18" Type="http://schemas.openxmlformats.org/officeDocument/2006/relationships/hyperlink" Target="https://yandex.ru/routing/doc/vrp/concepts/properties-of-orders.html" TargetMode="External"/><Relationship Id="rId3" Type="http://schemas.openxmlformats.org/officeDocument/2006/relationships/hyperlink" Target="https://yandex.ru/routing/doc/vrp/concepts/properties-of-orders.html" TargetMode="External"/><Relationship Id="rId21" Type="http://schemas.openxmlformats.org/officeDocument/2006/relationships/hyperlink" Target="https://yandex.ru/routing/doc/ru/vrp/properties-of-orders" TargetMode="External"/><Relationship Id="rId7" Type="http://schemas.openxmlformats.org/officeDocument/2006/relationships/hyperlink" Target="https://yandex.ru/routing/doc/vrp/concepts/properties-of-orders.html" TargetMode="External"/><Relationship Id="rId12" Type="http://schemas.openxmlformats.org/officeDocument/2006/relationships/hyperlink" Target="https://yandex.ru/routing/doc/vrp/concepts/properties-of-orders.html" TargetMode="External"/><Relationship Id="rId17" Type="http://schemas.openxmlformats.org/officeDocument/2006/relationships/hyperlink" Target="https://yandex.ru/routing/doc/vrp/concepts/properties-of-orders.html" TargetMode="External"/><Relationship Id="rId2" Type="http://schemas.openxmlformats.org/officeDocument/2006/relationships/hyperlink" Target="https://yandex.ru/routing/doc/vrp/concepts/properties-of-orders.html" TargetMode="External"/><Relationship Id="rId16" Type="http://schemas.openxmlformats.org/officeDocument/2006/relationships/hyperlink" Target="https://yandex.ru/routing/doc/vrp/concepts/properties-of-orders.html" TargetMode="External"/><Relationship Id="rId20" Type="http://schemas.openxmlformats.org/officeDocument/2006/relationships/hyperlink" Target="https://yandex.ru/routing/doc/ru/vrp/properties-of-orders" TargetMode="External"/><Relationship Id="rId1" Type="http://schemas.openxmlformats.org/officeDocument/2006/relationships/hyperlink" Target="https://yandex.ru/routing/doc/vrp/concepts/properties-of-orders.html" TargetMode="External"/><Relationship Id="rId6" Type="http://schemas.openxmlformats.org/officeDocument/2006/relationships/hyperlink" Target="https://yandex.ru/routing/doc/vrp/concepts/properties-of-orders.html" TargetMode="External"/><Relationship Id="rId11" Type="http://schemas.openxmlformats.org/officeDocument/2006/relationships/hyperlink" Target="https://yandex.ru/routing/doc/vrp/concepts/properties-of-orders.html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yandex.ru/routing/doc/vrp/concepts/properties-of-orders.html" TargetMode="External"/><Relationship Id="rId15" Type="http://schemas.openxmlformats.org/officeDocument/2006/relationships/hyperlink" Target="https://yandex.ru/routing/doc/vrp/concepts/properties-of-orders.html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yandex.ru/routing/doc/vrp/concepts/properties-of-orders.html" TargetMode="External"/><Relationship Id="rId19" Type="http://schemas.openxmlformats.org/officeDocument/2006/relationships/hyperlink" Target="https://yandex.ru/routing/doc/vrp/concepts/properties-of-orders.html" TargetMode="External"/><Relationship Id="rId4" Type="http://schemas.openxmlformats.org/officeDocument/2006/relationships/hyperlink" Target="https://yandex.ru/routing/doc/vrp/concepts/properties-of-orders.html" TargetMode="External"/><Relationship Id="rId9" Type="http://schemas.openxmlformats.org/officeDocument/2006/relationships/hyperlink" Target="https://yandex.ru/routing/doc/vrp/concepts/properties-of-vehicles.html" TargetMode="External"/><Relationship Id="rId14" Type="http://schemas.openxmlformats.org/officeDocument/2006/relationships/hyperlink" Target="https://yandex.ru/routing/doc/vrp/concepts/properties-of-orders.html" TargetMode="External"/><Relationship Id="rId22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68"/>
  <sheetViews>
    <sheetView zoomScaleNormal="100" workbookViewId="0">
      <pane ySplit="3" topLeftCell="A4" activePane="bottomLeft" state="frozen"/>
      <selection pane="bottomLeft" activeCell="D11" sqref="D11"/>
    </sheetView>
  </sheetViews>
  <sheetFormatPr defaultColWidth="8.6640625" defaultRowHeight="14.4" x14ac:dyDescent="0.3"/>
  <cols>
    <col min="1" max="1" width="5" style="1" customWidth="1"/>
    <col min="2" max="2" width="4.44140625" style="1" customWidth="1"/>
    <col min="3" max="3" width="15.109375" style="1" customWidth="1"/>
    <col min="4" max="4" width="7.5546875" style="6" customWidth="1"/>
    <col min="5" max="5" width="7.88671875" style="6" customWidth="1"/>
    <col min="6" max="6" width="40.6640625" style="1" customWidth="1"/>
    <col min="7" max="7" width="5.5546875" style="1" customWidth="1"/>
    <col min="8" max="8" width="5.88671875" style="6" customWidth="1"/>
    <col min="9" max="9" width="6" style="6" customWidth="1"/>
    <col min="10" max="10" width="9.33203125" style="6" customWidth="1"/>
    <col min="11" max="11" width="18.88671875" style="1" bestFit="1" customWidth="1"/>
    <col min="12" max="12" width="12" style="2" bestFit="1" customWidth="1"/>
    <col min="13" max="13" width="9.5546875" style="2" customWidth="1"/>
    <col min="14" max="15" width="4.109375" style="1" customWidth="1"/>
    <col min="16" max="16" width="11.33203125" style="1" customWidth="1"/>
    <col min="17" max="17" width="35.88671875" style="1" customWidth="1"/>
    <col min="18" max="18" width="15.6640625" style="116" bestFit="1" customWidth="1"/>
    <col min="19" max="19" width="14.33203125" style="116" customWidth="1"/>
    <col min="20" max="20" width="16.33203125" style="116" customWidth="1"/>
    <col min="21" max="21" width="13.109375" style="116" customWidth="1"/>
    <col min="22" max="22" width="15.33203125" style="116" customWidth="1"/>
    <col min="23" max="23" width="17.109375" style="129" customWidth="1"/>
    <col min="24" max="24" width="16.109375" style="116" customWidth="1"/>
    <col min="25" max="26" width="8" style="116" customWidth="1"/>
    <col min="27" max="27" width="8" style="1" customWidth="1"/>
    <col min="28" max="28" width="7.109375" style="6" customWidth="1"/>
    <col min="29" max="29" width="35.44140625" style="2" customWidth="1"/>
    <col min="30" max="30" width="10.6640625" style="48" customWidth="1"/>
    <col min="31" max="31" width="10.5546875" style="48" customWidth="1"/>
    <col min="32" max="32" width="15.44140625" style="3" customWidth="1"/>
    <col min="33" max="33" width="7.33203125" style="5" customWidth="1"/>
    <col min="34" max="34" width="4.6640625" style="5" customWidth="1"/>
    <col min="35" max="35" width="6.44140625" style="1" customWidth="1"/>
    <col min="36" max="36" width="8.5546875" style="116" customWidth="1"/>
    <col min="37" max="37" width="8.44140625" style="61" customWidth="1"/>
    <col min="38" max="38" width="16.6640625" style="58" customWidth="1"/>
    <col min="39" max="39" width="8.88671875" style="150" customWidth="1"/>
    <col min="40" max="40" width="9.109375" style="100" customWidth="1"/>
    <col min="41" max="41" width="8.5546875" style="94" customWidth="1"/>
    <col min="42" max="42" width="10.6640625" style="34" customWidth="1"/>
    <col min="43" max="43" width="6.6640625" style="39" customWidth="1"/>
    <col min="44" max="44" width="5.33203125" style="2" customWidth="1"/>
    <col min="45" max="45" width="5.5546875" style="1" customWidth="1"/>
    <col min="46" max="46" width="6.109375" style="1" customWidth="1"/>
    <col min="47" max="47" width="4.5546875" style="44" customWidth="1"/>
    <col min="48" max="48" width="6" style="1" customWidth="1"/>
    <col min="49" max="49" width="13.5546875" style="176" customWidth="1"/>
    <col min="50" max="50" width="7.109375" style="1" customWidth="1"/>
    <col min="51" max="51" width="8.5546875" style="6" customWidth="1"/>
    <col min="52" max="52" width="4.109375" style="1" customWidth="1"/>
    <col min="53" max="53" width="31.109375" style="104" customWidth="1"/>
    <col min="54" max="54" width="10.33203125" style="34" customWidth="1"/>
    <col min="55" max="55" width="4.33203125" style="110" customWidth="1"/>
    <col min="56" max="56" width="4.5546875" style="122" customWidth="1"/>
    <col min="57" max="57" width="4.5546875" style="1" customWidth="1"/>
    <col min="58" max="58" width="4.5546875" style="89" customWidth="1"/>
    <col min="59" max="63" width="4.5546875" style="90" customWidth="1"/>
    <col min="64" max="64" width="67.88671875" style="1" bestFit="1" customWidth="1"/>
    <col min="65" max="16384" width="8.6640625" style="1"/>
  </cols>
  <sheetData>
    <row r="1" spans="1:66" ht="15.75" customHeight="1" x14ac:dyDescent="0.3">
      <c r="D1" s="134"/>
      <c r="F1" s="22"/>
      <c r="AB1" s="184" t="s">
        <v>16</v>
      </c>
      <c r="AC1" s="186" t="s">
        <v>14</v>
      </c>
      <c r="AD1" s="49"/>
      <c r="AE1" s="49"/>
      <c r="AF1" s="187" t="s">
        <v>10</v>
      </c>
      <c r="AG1" s="189" t="s">
        <v>25</v>
      </c>
      <c r="AH1" s="189"/>
      <c r="AI1" s="190" t="s">
        <v>29</v>
      </c>
      <c r="AJ1" s="112"/>
      <c r="AK1" s="62"/>
      <c r="AL1" s="183" t="s">
        <v>1048</v>
      </c>
      <c r="AN1" s="138" t="s">
        <v>1106</v>
      </c>
      <c r="AO1" s="182" t="s">
        <v>13</v>
      </c>
      <c r="AP1" s="186" t="s">
        <v>12</v>
      </c>
      <c r="AQ1" s="191" t="s">
        <v>11</v>
      </c>
      <c r="AR1" s="192" t="s">
        <v>17</v>
      </c>
      <c r="AS1" s="192" t="s">
        <v>30</v>
      </c>
      <c r="AT1" s="192" t="s">
        <v>31</v>
      </c>
      <c r="AU1" s="196" t="s">
        <v>1108</v>
      </c>
      <c r="AV1" s="194" t="s">
        <v>1028</v>
      </c>
      <c r="AX1" s="158"/>
      <c r="AY1" s="159"/>
      <c r="AZ1" s="158"/>
      <c r="BA1" s="101"/>
      <c r="BB1" s="184" t="s">
        <v>1049</v>
      </c>
      <c r="BC1" s="184"/>
      <c r="BD1" s="119"/>
      <c r="BE1" s="89"/>
      <c r="BG1" s="89"/>
      <c r="BH1" s="89"/>
      <c r="BI1" s="89"/>
      <c r="BJ1" s="89"/>
      <c r="BK1" s="89"/>
    </row>
    <row r="2" spans="1:66" ht="42" customHeight="1" x14ac:dyDescent="0.3">
      <c r="A2" s="20" t="s">
        <v>1659</v>
      </c>
      <c r="B2" s="1" t="s">
        <v>50</v>
      </c>
      <c r="C2" s="7" t="s">
        <v>32</v>
      </c>
      <c r="D2" s="127" t="s">
        <v>33</v>
      </c>
      <c r="E2" s="7" t="s">
        <v>1113</v>
      </c>
      <c r="F2" s="28" t="s">
        <v>15</v>
      </c>
      <c r="G2" s="7" t="s">
        <v>34</v>
      </c>
      <c r="H2" s="7" t="s">
        <v>35</v>
      </c>
      <c r="I2" s="7">
        <v>11</v>
      </c>
      <c r="J2" s="20" t="s">
        <v>1067</v>
      </c>
      <c r="K2" s="7" t="s">
        <v>1069</v>
      </c>
      <c r="L2" s="7" t="s">
        <v>36</v>
      </c>
      <c r="M2" s="20" t="s">
        <v>1068</v>
      </c>
      <c r="N2" s="20" t="s">
        <v>1026</v>
      </c>
      <c r="O2" s="20" t="s">
        <v>1027</v>
      </c>
      <c r="P2" s="7" t="s">
        <v>37</v>
      </c>
      <c r="Q2" s="7" t="s">
        <v>38</v>
      </c>
      <c r="R2" s="130" t="s">
        <v>1306</v>
      </c>
      <c r="S2" s="130" t="s">
        <v>1307</v>
      </c>
      <c r="T2" s="130" t="s">
        <v>1308</v>
      </c>
      <c r="U2" s="130" t="s">
        <v>1299</v>
      </c>
      <c r="V2" s="130" t="s">
        <v>1300</v>
      </c>
      <c r="W2" s="130" t="s">
        <v>1309</v>
      </c>
      <c r="X2" s="130" t="s">
        <v>1310</v>
      </c>
      <c r="Y2" s="130" t="s">
        <v>1311</v>
      </c>
      <c r="Z2" s="130" t="s">
        <v>1312</v>
      </c>
      <c r="AA2" s="147" t="s">
        <v>1669</v>
      </c>
      <c r="AB2" s="185"/>
      <c r="AC2" s="186"/>
      <c r="AD2" s="50" t="s">
        <v>1142</v>
      </c>
      <c r="AE2" s="50" t="s">
        <v>1143</v>
      </c>
      <c r="AF2" s="188"/>
      <c r="AG2" s="189">
        <v>1</v>
      </c>
      <c r="AH2" s="189"/>
      <c r="AI2" s="190"/>
      <c r="AJ2" s="112" t="s">
        <v>1238</v>
      </c>
      <c r="AK2" s="62" t="s">
        <v>1239</v>
      </c>
      <c r="AL2" s="183"/>
      <c r="AM2" s="149" t="s">
        <v>1671</v>
      </c>
      <c r="AN2" s="139" t="s">
        <v>1104</v>
      </c>
      <c r="AO2" s="182"/>
      <c r="AP2" s="186"/>
      <c r="AQ2" s="191"/>
      <c r="AR2" s="192"/>
      <c r="AS2" s="193"/>
      <c r="AT2" s="193"/>
      <c r="AU2" s="196"/>
      <c r="AV2" s="195"/>
      <c r="AW2" s="177" t="s">
        <v>1233</v>
      </c>
      <c r="AX2" s="78"/>
      <c r="AY2" s="157" t="s">
        <v>1687</v>
      </c>
      <c r="AZ2" s="77"/>
      <c r="BA2" s="102" t="s">
        <v>15</v>
      </c>
      <c r="BB2" s="45" t="s">
        <v>9</v>
      </c>
      <c r="BC2" s="108" t="s">
        <v>8</v>
      </c>
      <c r="BD2" s="120"/>
      <c r="BE2" s="106" t="s">
        <v>1340</v>
      </c>
      <c r="BF2" s="106" t="s">
        <v>1339</v>
      </c>
      <c r="BG2" s="106" t="s">
        <v>1338</v>
      </c>
      <c r="BH2" s="106" t="s">
        <v>1347</v>
      </c>
      <c r="BI2" s="106" t="s">
        <v>1346</v>
      </c>
      <c r="BJ2" s="106" t="s">
        <v>1345</v>
      </c>
      <c r="BK2" s="106" t="s">
        <v>1348</v>
      </c>
    </row>
    <row r="3" spans="1:66" s="7" customFormat="1" ht="30.6" customHeight="1" x14ac:dyDescent="0.3">
      <c r="A3" s="135" t="s">
        <v>24</v>
      </c>
      <c r="B3" s="21" t="s">
        <v>24</v>
      </c>
      <c r="C3" s="21" t="s">
        <v>24</v>
      </c>
      <c r="D3" s="128" t="s">
        <v>6</v>
      </c>
      <c r="E3" s="42" t="s">
        <v>1114</v>
      </c>
      <c r="F3" s="29" t="s">
        <v>18</v>
      </c>
      <c r="G3" s="21" t="s">
        <v>24</v>
      </c>
      <c r="H3" s="21" t="s">
        <v>24</v>
      </c>
      <c r="I3" s="21" t="s">
        <v>24</v>
      </c>
      <c r="J3" s="21" t="s">
        <v>24</v>
      </c>
      <c r="K3" s="21" t="s">
        <v>24</v>
      </c>
      <c r="L3" s="21" t="s">
        <v>24</v>
      </c>
      <c r="M3" s="21" t="s">
        <v>24</v>
      </c>
      <c r="N3" s="21" t="s">
        <v>24</v>
      </c>
      <c r="O3" s="21" t="s">
        <v>24</v>
      </c>
      <c r="P3" s="21" t="s">
        <v>24</v>
      </c>
      <c r="Q3" s="21" t="s">
        <v>24</v>
      </c>
      <c r="R3" s="131" t="s">
        <v>24</v>
      </c>
      <c r="S3" s="131" t="s">
        <v>24</v>
      </c>
      <c r="T3" s="131" t="s">
        <v>24</v>
      </c>
      <c r="U3" s="131" t="s">
        <v>24</v>
      </c>
      <c r="V3" s="131" t="s">
        <v>24</v>
      </c>
      <c r="W3" s="131" t="s">
        <v>24</v>
      </c>
      <c r="X3" s="131" t="s">
        <v>24</v>
      </c>
      <c r="Y3" s="131" t="s">
        <v>24</v>
      </c>
      <c r="Z3" s="131" t="s">
        <v>24</v>
      </c>
      <c r="AA3" s="21" t="s">
        <v>24</v>
      </c>
      <c r="AB3" s="30" t="s">
        <v>7</v>
      </c>
      <c r="AC3" s="30" t="s">
        <v>19</v>
      </c>
      <c r="AD3" s="51" t="s">
        <v>5</v>
      </c>
      <c r="AE3" s="51" t="s">
        <v>4</v>
      </c>
      <c r="AF3" s="30" t="s">
        <v>23</v>
      </c>
      <c r="AG3" s="4" t="s">
        <v>26</v>
      </c>
      <c r="AH3" s="4" t="s">
        <v>27</v>
      </c>
      <c r="AI3" s="31" t="s">
        <v>39</v>
      </c>
      <c r="AJ3" s="113" t="s">
        <v>24</v>
      </c>
      <c r="AK3" s="7" t="s">
        <v>24</v>
      </c>
      <c r="AL3" s="141" t="s">
        <v>3</v>
      </c>
      <c r="AM3" s="148" t="s">
        <v>24</v>
      </c>
      <c r="AN3" s="140" t="s">
        <v>1105</v>
      </c>
      <c r="AO3" s="93" t="s">
        <v>2</v>
      </c>
      <c r="AP3" s="31" t="s">
        <v>21</v>
      </c>
      <c r="AQ3" s="32" t="s">
        <v>22</v>
      </c>
      <c r="AR3" s="33" t="s">
        <v>0</v>
      </c>
      <c r="AS3" s="33" t="s">
        <v>40</v>
      </c>
      <c r="AT3" s="33" t="s">
        <v>41</v>
      </c>
      <c r="AU3" s="43" t="s">
        <v>1109</v>
      </c>
      <c r="AV3" s="146" t="s">
        <v>1029</v>
      </c>
      <c r="AW3" s="7" t="s">
        <v>24</v>
      </c>
      <c r="AX3" s="21" t="s">
        <v>24</v>
      </c>
      <c r="AY3" s="21" t="s">
        <v>24</v>
      </c>
      <c r="AZ3" s="21" t="s">
        <v>24</v>
      </c>
      <c r="BA3" s="103" t="s">
        <v>24</v>
      </c>
      <c r="BB3" s="31" t="s">
        <v>20</v>
      </c>
      <c r="BC3" s="109" t="s">
        <v>1</v>
      </c>
      <c r="BD3" s="121"/>
      <c r="BE3" s="105" t="s">
        <v>24</v>
      </c>
      <c r="BF3" s="105" t="s">
        <v>24</v>
      </c>
      <c r="BG3" s="105" t="s">
        <v>24</v>
      </c>
      <c r="BH3" s="105" t="s">
        <v>24</v>
      </c>
      <c r="BI3" s="105" t="s">
        <v>24</v>
      </c>
      <c r="BJ3" s="105" t="s">
        <v>24</v>
      </c>
      <c r="BK3" s="105" t="s">
        <v>24</v>
      </c>
      <c r="BL3" s="105" t="s">
        <v>24</v>
      </c>
    </row>
    <row r="4" spans="1:66" s="7" customFormat="1" ht="30.6" customHeight="1" x14ac:dyDescent="0.3">
      <c r="A4" s="135">
        <v>0</v>
      </c>
      <c r="B4" s="21">
        <v>1</v>
      </c>
      <c r="C4" s="21">
        <v>2</v>
      </c>
      <c r="D4" s="135">
        <v>3</v>
      </c>
      <c r="E4" s="21">
        <v>4</v>
      </c>
      <c r="F4" s="21">
        <v>5</v>
      </c>
      <c r="G4" s="135">
        <v>6</v>
      </c>
      <c r="H4" s="21">
        <v>7</v>
      </c>
      <c r="I4" s="21">
        <v>8</v>
      </c>
      <c r="J4" s="135">
        <v>9</v>
      </c>
      <c r="K4" s="21">
        <v>10</v>
      </c>
      <c r="L4" s="21">
        <v>11</v>
      </c>
      <c r="M4" s="135">
        <v>12</v>
      </c>
      <c r="N4" s="21">
        <v>13</v>
      </c>
      <c r="O4" s="21">
        <v>14</v>
      </c>
      <c r="P4" s="135">
        <v>15</v>
      </c>
      <c r="Q4" s="21">
        <v>16</v>
      </c>
      <c r="R4" s="21">
        <v>17</v>
      </c>
      <c r="S4" s="135">
        <v>18</v>
      </c>
      <c r="T4" s="21">
        <v>19</v>
      </c>
      <c r="U4" s="21">
        <v>20</v>
      </c>
      <c r="V4" s="135">
        <v>21</v>
      </c>
      <c r="W4" s="21">
        <v>22</v>
      </c>
      <c r="X4" s="21">
        <v>23</v>
      </c>
      <c r="Y4" s="135">
        <v>24</v>
      </c>
      <c r="Z4" s="21">
        <v>25</v>
      </c>
      <c r="AA4" s="21">
        <v>26</v>
      </c>
      <c r="AB4" s="135">
        <v>27</v>
      </c>
      <c r="AC4" s="21">
        <v>28</v>
      </c>
      <c r="AD4" s="21">
        <v>29</v>
      </c>
      <c r="AE4" s="135">
        <v>30</v>
      </c>
      <c r="AF4" s="21">
        <v>31</v>
      </c>
      <c r="AG4" s="21">
        <v>32</v>
      </c>
      <c r="AH4" s="135">
        <v>33</v>
      </c>
      <c r="AI4" s="21">
        <v>34</v>
      </c>
      <c r="AJ4" s="21">
        <v>35</v>
      </c>
      <c r="AK4" s="135">
        <v>36</v>
      </c>
      <c r="AL4" s="21">
        <v>37</v>
      </c>
      <c r="AM4" s="21">
        <v>38</v>
      </c>
      <c r="AN4" s="135">
        <v>39</v>
      </c>
      <c r="AO4" s="21">
        <v>40</v>
      </c>
      <c r="AP4" s="21">
        <v>41</v>
      </c>
      <c r="AQ4" s="135">
        <v>42</v>
      </c>
      <c r="AR4" s="21">
        <v>43</v>
      </c>
      <c r="AS4" s="21">
        <v>44</v>
      </c>
      <c r="AT4" s="135">
        <v>45</v>
      </c>
      <c r="AU4" s="21">
        <v>46</v>
      </c>
      <c r="AV4" s="21">
        <v>47</v>
      </c>
      <c r="AW4" s="135">
        <v>48</v>
      </c>
      <c r="AX4" s="21">
        <v>49</v>
      </c>
      <c r="AY4" s="21">
        <v>50</v>
      </c>
      <c r="AZ4" s="135">
        <v>51</v>
      </c>
      <c r="BA4" s="21">
        <v>52</v>
      </c>
      <c r="BB4" s="21">
        <v>53</v>
      </c>
      <c r="BC4" s="135">
        <v>54</v>
      </c>
      <c r="BD4" s="21">
        <v>55</v>
      </c>
      <c r="BE4" s="21">
        <v>56</v>
      </c>
      <c r="BF4" s="135">
        <v>57</v>
      </c>
      <c r="BG4" s="21">
        <v>58</v>
      </c>
      <c r="BH4" s="21">
        <v>59</v>
      </c>
      <c r="BI4" s="135">
        <v>60</v>
      </c>
      <c r="BJ4" s="21">
        <v>61</v>
      </c>
      <c r="BK4" s="21">
        <v>62</v>
      </c>
      <c r="BL4" s="135">
        <v>63</v>
      </c>
      <c r="BM4" s="21">
        <v>64</v>
      </c>
      <c r="BN4" s="21">
        <v>65</v>
      </c>
    </row>
    <row r="5" spans="1:66" ht="15" customHeight="1" x14ac:dyDescent="0.3">
      <c r="C5" s="1">
        <v>460</v>
      </c>
      <c r="D5" s="6">
        <v>7009</v>
      </c>
      <c r="E5" s="6">
        <v>4009</v>
      </c>
      <c r="F5" s="1" t="s">
        <v>1586</v>
      </c>
      <c r="G5" s="8" t="s">
        <v>50</v>
      </c>
      <c r="H5" s="9">
        <v>9.8000000000000007</v>
      </c>
      <c r="I5" s="9">
        <v>3.22</v>
      </c>
      <c r="J5" s="179" t="s">
        <v>2087</v>
      </c>
      <c r="K5" s="1" t="s">
        <v>1724</v>
      </c>
      <c r="L5" s="2">
        <v>2</v>
      </c>
      <c r="M5" s="2" t="s">
        <v>1892</v>
      </c>
      <c r="N5" s="1">
        <v>1</v>
      </c>
      <c r="O5" s="1">
        <v>1</v>
      </c>
      <c r="P5" s="1" t="s">
        <v>567</v>
      </c>
      <c r="Q5" s="10" t="s">
        <v>568</v>
      </c>
      <c r="R5" t="s">
        <v>2322</v>
      </c>
      <c r="S5">
        <v>9922850884</v>
      </c>
      <c r="T5">
        <v>89001430044</v>
      </c>
      <c r="U5" t="s">
        <v>2323</v>
      </c>
      <c r="V5" t="s">
        <v>2324</v>
      </c>
      <c r="W5">
        <v>9937116734</v>
      </c>
      <c r="X5" t="s">
        <v>2117</v>
      </c>
      <c r="Y5" t="s">
        <v>2325</v>
      </c>
      <c r="Z5" t="s">
        <v>2326</v>
      </c>
      <c r="AA5">
        <v>8</v>
      </c>
      <c r="AB5" s="6" t="s">
        <v>978</v>
      </c>
      <c r="AC5" s="2" t="s">
        <v>569</v>
      </c>
      <c r="AF5" s="167" t="s">
        <v>1688</v>
      </c>
      <c r="AI5" s="6">
        <v>2</v>
      </c>
      <c r="AJ5" s="13" t="s">
        <v>1328</v>
      </c>
      <c r="AK5" s="58">
        <v>0.54166666666666696</v>
      </c>
      <c r="AL5" s="58" t="str">
        <f t="shared" ref="AL5:AL68" si="0">CONCATENATE(TEXT(AJ5,"ЧЧ:ММ")," ","-"," ",TEXT(AK5,"ЧЧ:ММ"))</f>
        <v>09:00 - 13:00</v>
      </c>
      <c r="AM5" s="151">
        <v>6</v>
      </c>
      <c r="AN5" s="95">
        <f t="shared" ref="AN5:AN45" si="1">IF(AP5&gt;1000,(AP5*320),300000)</f>
        <v>300000</v>
      </c>
      <c r="AO5" s="94" t="b">
        <v>1</v>
      </c>
      <c r="AP5" s="34">
        <f t="shared" ref="AP5:AP68" si="2">H5*20+I5*20</f>
        <v>260.39999999999998</v>
      </c>
      <c r="AQ5" s="23">
        <f t="shared" ref="AQ5:AQ68" si="3">IF(AP5&gt;520,ROUNDUP(((H5*20)/560+(I5*20)/550),0),IF(SUM(H5:I5)=0,0,IF(AP5&lt;255,1,ROUND(((H5*20)/520+(I5*20)/450),0))))</f>
        <v>1</v>
      </c>
      <c r="AR5" s="35" t="s">
        <v>48</v>
      </c>
      <c r="AW5" s="63" t="str">
        <f t="shared" ref="AW5:AW68" si="4">IF(TIMEVALUE(M5)&lt;TIMEVALUE(AJ5),AJ5,M5)</f>
        <v>09:01:13</v>
      </c>
      <c r="AX5" s="10"/>
      <c r="AY5" s="160">
        <v>1</v>
      </c>
      <c r="AZ5" s="10"/>
      <c r="BA5" s="104" t="str">
        <f t="shared" ref="BA5:BA68" si="5">F5</f>
        <v>МОСКОВСКИЙ-1-МКРН-158</v>
      </c>
      <c r="BB5" s="85">
        <f>AP5*4.6+10*60</f>
        <v>1797.8399999999997</v>
      </c>
      <c r="BD5" s="123"/>
      <c r="BE5" s="117">
        <v>-16.557999999999993</v>
      </c>
      <c r="BF5" s="89" t="s">
        <v>1315</v>
      </c>
      <c r="BG5" s="89">
        <v>9.626000000000019</v>
      </c>
      <c r="BH5" s="89">
        <v>16.526666666666671</v>
      </c>
      <c r="BI5" s="89" t="s">
        <v>1315</v>
      </c>
      <c r="BJ5" s="89">
        <v>6.435333333333304</v>
      </c>
      <c r="BK5" s="89">
        <v>61.835333333333338</v>
      </c>
      <c r="BL5" s="1" t="s">
        <v>566</v>
      </c>
    </row>
    <row r="6" spans="1:66" ht="15" customHeight="1" x14ac:dyDescent="0.3">
      <c r="C6" s="1">
        <v>482</v>
      </c>
      <c r="D6" s="6">
        <v>877</v>
      </c>
      <c r="E6" s="6">
        <v>4877</v>
      </c>
      <c r="F6" s="11" t="s">
        <v>1590</v>
      </c>
      <c r="G6" s="8" t="s">
        <v>43</v>
      </c>
      <c r="H6" s="9">
        <v>7.6099999999999994</v>
      </c>
      <c r="I6" s="9">
        <v>3.92</v>
      </c>
      <c r="J6" s="9" t="s">
        <v>1315</v>
      </c>
      <c r="K6" s="1" t="s">
        <v>1724</v>
      </c>
      <c r="M6" s="2" t="s">
        <v>1893</v>
      </c>
      <c r="N6" s="1">
        <v>1</v>
      </c>
      <c r="O6" s="1">
        <v>2</v>
      </c>
      <c r="P6" s="1" t="s">
        <v>574</v>
      </c>
      <c r="Q6" s="10" t="s">
        <v>575</v>
      </c>
      <c r="R6" t="s">
        <v>2322</v>
      </c>
      <c r="S6">
        <v>9922850884</v>
      </c>
      <c r="T6">
        <v>89001430044</v>
      </c>
      <c r="U6" t="s">
        <v>2323</v>
      </c>
      <c r="V6" t="s">
        <v>2324</v>
      </c>
      <c r="W6">
        <v>9937116734</v>
      </c>
      <c r="X6" t="s">
        <v>2117</v>
      </c>
      <c r="Y6" t="s">
        <v>2325</v>
      </c>
      <c r="Z6" t="s">
        <v>2326</v>
      </c>
      <c r="AA6">
        <v>8</v>
      </c>
      <c r="AB6" s="6" t="s">
        <v>1036</v>
      </c>
      <c r="AC6" s="2" t="s">
        <v>576</v>
      </c>
      <c r="AF6" s="170" t="s">
        <v>1681</v>
      </c>
      <c r="AI6" s="6">
        <v>2</v>
      </c>
      <c r="AJ6" s="114" t="str">
        <f ca="1">IF((WEEKDAY(TODAY(),2))=6,"10:00","09:30")</f>
        <v>09:30</v>
      </c>
      <c r="AK6" s="58">
        <v>0.54166666666666696</v>
      </c>
      <c r="AL6" s="58" t="str">
        <f t="shared" ca="1" si="0"/>
        <v>09:30 - 13:00</v>
      </c>
      <c r="AM6" s="151">
        <v>5</v>
      </c>
      <c r="AN6" s="95">
        <f t="shared" si="1"/>
        <v>300000</v>
      </c>
      <c r="AO6" s="94" t="b">
        <v>1</v>
      </c>
      <c r="AP6" s="34">
        <f t="shared" si="2"/>
        <v>230.6</v>
      </c>
      <c r="AQ6" s="23">
        <f t="shared" si="3"/>
        <v>1</v>
      </c>
      <c r="AR6" s="35" t="s">
        <v>48</v>
      </c>
      <c r="AW6" s="63" t="str">
        <f t="shared" ca="1" si="4"/>
        <v>10:11:59</v>
      </c>
      <c r="AX6" s="10"/>
      <c r="AY6" s="160">
        <v>1</v>
      </c>
      <c r="AZ6" s="10"/>
      <c r="BA6" s="104" t="str">
        <f t="shared" si="5"/>
        <v>ТРОИЦК-СОЛНЕЧНАЯ-9</v>
      </c>
      <c r="BB6" s="85">
        <f>AP6*3+10*60</f>
        <v>1291.8</v>
      </c>
      <c r="BD6" s="123"/>
      <c r="BE6" s="117" t="s">
        <v>1315</v>
      </c>
      <c r="BF6" s="89" t="s">
        <v>1315</v>
      </c>
      <c r="BG6" s="89" t="s">
        <v>1315</v>
      </c>
      <c r="BH6" s="89" t="s">
        <v>1315</v>
      </c>
      <c r="BI6" s="89" t="s">
        <v>1315</v>
      </c>
      <c r="BJ6" s="89" t="s">
        <v>1315</v>
      </c>
      <c r="BK6" s="89">
        <v>18.873333333333335</v>
      </c>
      <c r="BL6" s="11" t="s">
        <v>573</v>
      </c>
    </row>
    <row r="7" spans="1:66" ht="15" customHeight="1" x14ac:dyDescent="0.3">
      <c r="C7" s="1">
        <v>475</v>
      </c>
      <c r="D7" s="6">
        <v>7094</v>
      </c>
      <c r="E7" s="6">
        <v>4094</v>
      </c>
      <c r="F7" s="1" t="s">
        <v>1648</v>
      </c>
      <c r="G7" s="8" t="s">
        <v>50</v>
      </c>
      <c r="H7" s="9">
        <v>25.24</v>
      </c>
      <c r="I7" s="9">
        <v>8.7100000000000009</v>
      </c>
      <c r="J7" s="9" t="s">
        <v>1315</v>
      </c>
      <c r="K7" s="1" t="s">
        <v>1724</v>
      </c>
      <c r="M7" s="2" t="s">
        <v>1973</v>
      </c>
      <c r="N7" s="1">
        <v>1</v>
      </c>
      <c r="O7" s="1">
        <v>3</v>
      </c>
      <c r="P7" s="1" t="s">
        <v>51</v>
      </c>
      <c r="Q7" s="10" t="s">
        <v>994</v>
      </c>
      <c r="R7" t="s">
        <v>2322</v>
      </c>
      <c r="S7">
        <v>9922850884</v>
      </c>
      <c r="T7">
        <v>89001430044</v>
      </c>
      <c r="U7" t="s">
        <v>2323</v>
      </c>
      <c r="V7" t="s">
        <v>2324</v>
      </c>
      <c r="W7">
        <v>9937116734</v>
      </c>
      <c r="X7" t="s">
        <v>2117</v>
      </c>
      <c r="Y7" t="s">
        <v>2325</v>
      </c>
      <c r="Z7" t="s">
        <v>2326</v>
      </c>
      <c r="AA7">
        <v>8</v>
      </c>
      <c r="AB7" s="6" t="s">
        <v>1008</v>
      </c>
      <c r="AC7" s="2" t="s">
        <v>995</v>
      </c>
      <c r="AF7" s="171" t="s">
        <v>732</v>
      </c>
      <c r="AI7" s="6">
        <v>2</v>
      </c>
      <c r="AJ7" s="13" t="s">
        <v>1328</v>
      </c>
      <c r="AK7" s="162">
        <v>0.75</v>
      </c>
      <c r="AL7" s="58" t="str">
        <f t="shared" si="0"/>
        <v>09:00 - 18:00</v>
      </c>
      <c r="AM7" s="151">
        <v>5</v>
      </c>
      <c r="AN7" s="95">
        <f t="shared" si="1"/>
        <v>300000</v>
      </c>
      <c r="AO7" s="94" t="b">
        <v>1</v>
      </c>
      <c r="AP7" s="34">
        <f t="shared" si="2"/>
        <v>679</v>
      </c>
      <c r="AQ7" s="23">
        <f t="shared" si="3"/>
        <v>2</v>
      </c>
      <c r="AR7" s="35" t="s">
        <v>48</v>
      </c>
      <c r="AW7" s="63" t="str">
        <f t="shared" si="4"/>
        <v>11:08:29</v>
      </c>
      <c r="AX7" s="10"/>
      <c r="AY7" s="160">
        <v>3</v>
      </c>
      <c r="AZ7" s="10"/>
      <c r="BA7" s="104" t="str">
        <f t="shared" si="5"/>
        <v>СОСЕНСКОЕ-ФИТАРЕВСКАЯ-6</v>
      </c>
      <c r="BB7" s="52">
        <f>AP7*3.7+10*60</f>
        <v>3112.3</v>
      </c>
      <c r="BD7" s="123"/>
      <c r="BE7" s="117" t="s">
        <v>1315</v>
      </c>
      <c r="BF7" s="89" t="s">
        <v>1315</v>
      </c>
      <c r="BG7" s="89" t="s">
        <v>1315</v>
      </c>
      <c r="BH7" s="89" t="s">
        <v>1315</v>
      </c>
      <c r="BI7" s="89" t="s">
        <v>1315</v>
      </c>
      <c r="BJ7" s="89" t="s">
        <v>1315</v>
      </c>
      <c r="BK7" s="89" t="s">
        <v>1315</v>
      </c>
      <c r="BL7" s="1" t="s">
        <v>993</v>
      </c>
    </row>
    <row r="8" spans="1:66" ht="15" customHeight="1" x14ac:dyDescent="0.3">
      <c r="C8" s="1">
        <v>490</v>
      </c>
      <c r="D8" s="6">
        <v>7243</v>
      </c>
      <c r="E8" s="6">
        <v>4243</v>
      </c>
      <c r="F8" s="54" t="s">
        <v>1592</v>
      </c>
      <c r="G8" s="8" t="s">
        <v>50</v>
      </c>
      <c r="H8" s="9">
        <v>17.350000000000001</v>
      </c>
      <c r="I8" s="9">
        <v>7.24</v>
      </c>
      <c r="J8" s="9" t="s">
        <v>1315</v>
      </c>
      <c r="K8" s="1" t="s">
        <v>1724</v>
      </c>
      <c r="L8" s="60">
        <v>2</v>
      </c>
      <c r="M8" s="2" t="s">
        <v>1939</v>
      </c>
      <c r="N8" s="1">
        <v>1</v>
      </c>
      <c r="O8" s="1">
        <v>4</v>
      </c>
      <c r="P8" s="1" t="s">
        <v>51</v>
      </c>
      <c r="Q8" s="10" t="s">
        <v>1316</v>
      </c>
      <c r="R8" t="s">
        <v>2322</v>
      </c>
      <c r="S8">
        <v>9922850884</v>
      </c>
      <c r="T8">
        <v>89001430044</v>
      </c>
      <c r="U8" t="s">
        <v>2323</v>
      </c>
      <c r="V8" t="s">
        <v>2324</v>
      </c>
      <c r="W8">
        <v>9937116734</v>
      </c>
      <c r="X8" t="s">
        <v>2117</v>
      </c>
      <c r="Y8" t="s">
        <v>2325</v>
      </c>
      <c r="Z8" t="s">
        <v>2326</v>
      </c>
      <c r="AA8">
        <v>8</v>
      </c>
      <c r="AB8" s="6" t="s">
        <v>1064</v>
      </c>
      <c r="AC8" s="10" t="s">
        <v>1318</v>
      </c>
      <c r="AF8" s="171" t="s">
        <v>732</v>
      </c>
      <c r="AI8" s="6">
        <v>2</v>
      </c>
      <c r="AJ8" s="13" t="s">
        <v>1329</v>
      </c>
      <c r="AK8" s="58">
        <v>0.54166666666666696</v>
      </c>
      <c r="AL8" s="58" t="str">
        <f t="shared" si="0"/>
        <v>09:30 - 13:00</v>
      </c>
      <c r="AM8" s="151">
        <v>5</v>
      </c>
      <c r="AN8" s="95">
        <f t="shared" si="1"/>
        <v>300000</v>
      </c>
      <c r="AO8" s="94" t="b">
        <v>1</v>
      </c>
      <c r="AP8" s="34">
        <f t="shared" si="2"/>
        <v>491.8</v>
      </c>
      <c r="AQ8" s="23">
        <f t="shared" si="3"/>
        <v>1</v>
      </c>
      <c r="AR8" s="35" t="s">
        <v>48</v>
      </c>
      <c r="AW8" s="63" t="str">
        <f t="shared" si="4"/>
        <v>12:19:49</v>
      </c>
      <c r="AX8" s="10"/>
      <c r="AY8" s="160">
        <v>1</v>
      </c>
      <c r="AZ8" s="10"/>
      <c r="BA8" s="104" t="str">
        <f t="shared" si="5"/>
        <v>ПРОФСОЮЗНАЯ-152К1</v>
      </c>
      <c r="BB8" s="87">
        <f>AP8*3.5+10*60</f>
        <v>2321.3000000000002</v>
      </c>
      <c r="BD8" s="123"/>
      <c r="BE8" s="117" t="s">
        <v>1315</v>
      </c>
      <c r="BF8" s="89">
        <v>-13.006666666666668</v>
      </c>
      <c r="BG8" s="89" t="s">
        <v>1315</v>
      </c>
      <c r="BH8" s="89" t="s">
        <v>1315</v>
      </c>
      <c r="BI8" s="89" t="s">
        <v>1315</v>
      </c>
      <c r="BJ8" s="89">
        <v>-6.5833333333333286</v>
      </c>
      <c r="BK8" s="89" t="s">
        <v>1315</v>
      </c>
      <c r="BL8" s="54" t="s">
        <v>1317</v>
      </c>
    </row>
    <row r="9" spans="1:66" ht="15" customHeight="1" x14ac:dyDescent="0.3">
      <c r="C9" s="1">
        <v>80</v>
      </c>
      <c r="D9" s="6">
        <v>25935</v>
      </c>
      <c r="E9" s="6">
        <v>4935</v>
      </c>
      <c r="F9" s="10" t="s">
        <v>1396</v>
      </c>
      <c r="G9" s="8" t="s">
        <v>43</v>
      </c>
      <c r="H9" s="9">
        <v>40.86</v>
      </c>
      <c r="I9" s="9">
        <v>18.59</v>
      </c>
      <c r="J9" s="9" t="s">
        <v>1315</v>
      </c>
      <c r="K9" s="1" t="s">
        <v>1724</v>
      </c>
      <c r="M9" s="2" t="s">
        <v>2036</v>
      </c>
      <c r="N9" s="1">
        <v>1</v>
      </c>
      <c r="O9" s="1">
        <v>5</v>
      </c>
      <c r="P9" s="1" t="s">
        <v>72</v>
      </c>
      <c r="Q9" s="10" t="s">
        <v>283</v>
      </c>
      <c r="R9" t="s">
        <v>2322</v>
      </c>
      <c r="S9">
        <v>9922850884</v>
      </c>
      <c r="T9">
        <v>89001430044</v>
      </c>
      <c r="U9" t="s">
        <v>2323</v>
      </c>
      <c r="V9" t="s">
        <v>2324</v>
      </c>
      <c r="W9">
        <v>9937116734</v>
      </c>
      <c r="X9" t="s">
        <v>2117</v>
      </c>
      <c r="Y9" t="s">
        <v>2325</v>
      </c>
      <c r="Z9" t="s">
        <v>2326</v>
      </c>
      <c r="AA9">
        <v>8</v>
      </c>
      <c r="AB9" s="6" t="s">
        <v>775</v>
      </c>
      <c r="AC9" s="2" t="s">
        <v>284</v>
      </c>
      <c r="AD9" s="48" t="s">
        <v>1155</v>
      </c>
      <c r="AE9" s="48" t="s">
        <v>1156</v>
      </c>
      <c r="AF9" s="155" t="s">
        <v>732</v>
      </c>
      <c r="AI9" s="6">
        <v>2</v>
      </c>
      <c r="AJ9" s="114" t="str">
        <f ca="1">IF((WEEKDAY(TODAY(),2))=6,"10:00","09:00")</f>
        <v>09:00</v>
      </c>
      <c r="AK9" s="142" t="str">
        <f>IF(AP9&gt;2000,"15:00",IF(AP9&lt;1000,"16:30","16:00"))</f>
        <v>16:00</v>
      </c>
      <c r="AL9" s="58" t="str">
        <f t="shared" ca="1" si="0"/>
        <v>09:00 - 16:00</v>
      </c>
      <c r="AM9" s="151">
        <v>4</v>
      </c>
      <c r="AN9" s="95">
        <f t="shared" si="1"/>
        <v>380480</v>
      </c>
      <c r="AO9" s="94" t="b">
        <v>1</v>
      </c>
      <c r="AP9" s="34">
        <f t="shared" si="2"/>
        <v>1189</v>
      </c>
      <c r="AQ9" s="23">
        <f t="shared" si="3"/>
        <v>3</v>
      </c>
      <c r="AR9" s="35" t="s">
        <v>48</v>
      </c>
      <c r="AU9" s="46"/>
      <c r="AW9" s="63" t="str">
        <f t="shared" ca="1" si="4"/>
        <v>13:41:05</v>
      </c>
      <c r="AX9" s="10"/>
      <c r="AY9" s="160">
        <v>2</v>
      </c>
      <c r="AZ9" s="10"/>
      <c r="BA9" s="104" t="str">
        <f t="shared" si="5"/>
        <v>САПРОНОВО-ЦЕНТРАЛЬНЫЙ-КВ-Л-1</v>
      </c>
      <c r="BB9" s="91">
        <f>AP9*4.5+10*60</f>
        <v>5950.5</v>
      </c>
      <c r="BD9" s="123"/>
      <c r="BE9" s="117" t="s">
        <v>1315</v>
      </c>
      <c r="BF9" s="89" t="s">
        <v>1315</v>
      </c>
      <c r="BG9" s="89" t="s">
        <v>1315</v>
      </c>
      <c r="BH9" s="89" t="s">
        <v>1315</v>
      </c>
      <c r="BI9" s="89" t="s">
        <v>1315</v>
      </c>
      <c r="BJ9" s="89" t="s">
        <v>1315</v>
      </c>
      <c r="BK9" s="89" t="s">
        <v>1315</v>
      </c>
      <c r="BL9" s="10" t="s">
        <v>282</v>
      </c>
    </row>
    <row r="10" spans="1:66" ht="15" customHeight="1" x14ac:dyDescent="0.3">
      <c r="C10" s="1">
        <v>24</v>
      </c>
      <c r="D10" s="6">
        <v>7045</v>
      </c>
      <c r="E10" s="6">
        <v>4045</v>
      </c>
      <c r="F10" s="1" t="s">
        <v>1374</v>
      </c>
      <c r="G10" s="8" t="s">
        <v>50</v>
      </c>
      <c r="H10" s="9">
        <v>19.52</v>
      </c>
      <c r="I10" s="9">
        <v>3.31</v>
      </c>
      <c r="J10" s="179" t="s">
        <v>2087</v>
      </c>
      <c r="K10" s="1" t="s">
        <v>1729</v>
      </c>
      <c r="M10" s="2" t="s">
        <v>1328</v>
      </c>
      <c r="N10" s="1">
        <v>1</v>
      </c>
      <c r="O10" s="1">
        <v>1</v>
      </c>
      <c r="P10" s="1" t="s">
        <v>51</v>
      </c>
      <c r="Q10" s="10" t="s">
        <v>706</v>
      </c>
      <c r="R10" t="s">
        <v>2327</v>
      </c>
      <c r="S10">
        <v>7738771539</v>
      </c>
      <c r="T10">
        <v>89775647750</v>
      </c>
      <c r="U10" t="s">
        <v>2328</v>
      </c>
      <c r="V10" t="s">
        <v>2329</v>
      </c>
      <c r="W10">
        <v>9941098942</v>
      </c>
      <c r="X10" t="s">
        <v>2117</v>
      </c>
      <c r="Y10" t="s">
        <v>2325</v>
      </c>
      <c r="Z10" t="s">
        <v>2326</v>
      </c>
      <c r="AA10">
        <v>8</v>
      </c>
      <c r="AB10" s="6" t="s">
        <v>750</v>
      </c>
      <c r="AC10" s="1" t="s">
        <v>707</v>
      </c>
      <c r="AD10" s="48" t="s">
        <v>1161</v>
      </c>
      <c r="AE10" s="48" t="s">
        <v>1162</v>
      </c>
      <c r="AF10" s="15" t="s">
        <v>1672</v>
      </c>
      <c r="AH10" s="24"/>
      <c r="AI10" s="6">
        <v>2</v>
      </c>
      <c r="AJ10" s="13" t="s">
        <v>1328</v>
      </c>
      <c r="AK10" s="58">
        <v>0.54166666666666696</v>
      </c>
      <c r="AL10" s="58" t="str">
        <f t="shared" si="0"/>
        <v>09:00 - 13:00</v>
      </c>
      <c r="AM10" s="151">
        <v>5</v>
      </c>
      <c r="AN10" s="95">
        <f t="shared" si="1"/>
        <v>300000</v>
      </c>
      <c r="AO10" s="94" t="b">
        <v>1</v>
      </c>
      <c r="AP10" s="34">
        <f t="shared" si="2"/>
        <v>456.59999999999997</v>
      </c>
      <c r="AQ10" s="23">
        <f t="shared" si="3"/>
        <v>1</v>
      </c>
      <c r="AR10" s="35" t="s">
        <v>48</v>
      </c>
      <c r="AU10" s="46"/>
      <c r="AW10" s="63" t="str">
        <f t="shared" si="4"/>
        <v>09:00</v>
      </c>
      <c r="AX10" s="10"/>
      <c r="AY10" s="160">
        <v>1</v>
      </c>
      <c r="AZ10" s="10"/>
      <c r="BA10" s="104" t="str">
        <f t="shared" si="5"/>
        <v>БИРЮЛЕВСКАЯ-49</v>
      </c>
      <c r="BB10" s="87">
        <f>AP10*3.5+10*60</f>
        <v>2198.1</v>
      </c>
      <c r="BD10" s="123"/>
      <c r="BE10" s="117" t="s">
        <v>1315</v>
      </c>
      <c r="BF10" s="89">
        <v>3.134999999999998</v>
      </c>
      <c r="BG10" s="89" t="s">
        <v>1315</v>
      </c>
      <c r="BH10" s="89" t="s">
        <v>1315</v>
      </c>
      <c r="BI10" s="89" t="s">
        <v>1315</v>
      </c>
      <c r="BJ10" s="89">
        <v>15.845000000000006</v>
      </c>
      <c r="BK10" s="89" t="s">
        <v>1315</v>
      </c>
      <c r="BL10" s="1" t="s">
        <v>705</v>
      </c>
    </row>
    <row r="11" spans="1:66" ht="15" customHeight="1" x14ac:dyDescent="0.3">
      <c r="C11" s="1">
        <v>10</v>
      </c>
      <c r="D11" s="6">
        <v>918</v>
      </c>
      <c r="E11" s="6">
        <v>4918</v>
      </c>
      <c r="F11" s="10" t="s">
        <v>1369</v>
      </c>
      <c r="G11" s="8" t="s">
        <v>50</v>
      </c>
      <c r="H11" s="9">
        <v>29.47</v>
      </c>
      <c r="I11" s="9">
        <v>8.2899999999999991</v>
      </c>
      <c r="J11" s="9" t="s">
        <v>1315</v>
      </c>
      <c r="K11" s="1" t="s">
        <v>1729</v>
      </c>
      <c r="M11" s="2" t="s">
        <v>1908</v>
      </c>
      <c r="N11" s="1">
        <v>1</v>
      </c>
      <c r="O11" s="1">
        <v>2</v>
      </c>
      <c r="P11" s="1" t="s">
        <v>51</v>
      </c>
      <c r="Q11" s="10" t="s">
        <v>222</v>
      </c>
      <c r="R11" t="s">
        <v>2327</v>
      </c>
      <c r="S11">
        <v>7738771539</v>
      </c>
      <c r="T11">
        <v>89775647750</v>
      </c>
      <c r="U11" t="s">
        <v>2328</v>
      </c>
      <c r="V11" t="s">
        <v>2329</v>
      </c>
      <c r="W11">
        <v>9941098942</v>
      </c>
      <c r="X11" t="s">
        <v>2117</v>
      </c>
      <c r="Y11" t="s">
        <v>2325</v>
      </c>
      <c r="Z11" t="s">
        <v>2326</v>
      </c>
      <c r="AA11">
        <v>8</v>
      </c>
      <c r="AB11" s="6" t="s">
        <v>745</v>
      </c>
      <c r="AC11" s="2" t="s">
        <v>223</v>
      </c>
      <c r="AF11" s="169" t="s">
        <v>1672</v>
      </c>
      <c r="AI11" s="6">
        <v>2</v>
      </c>
      <c r="AJ11" s="115" t="s">
        <v>1329</v>
      </c>
      <c r="AK11" s="58">
        <v>0.54166666666666696</v>
      </c>
      <c r="AL11" s="58" t="str">
        <f t="shared" si="0"/>
        <v>09:30 - 13:00</v>
      </c>
      <c r="AM11" s="151">
        <v>4</v>
      </c>
      <c r="AN11" s="95">
        <f t="shared" si="1"/>
        <v>300000</v>
      </c>
      <c r="AO11" s="94" t="b">
        <v>1</v>
      </c>
      <c r="AP11" s="34">
        <f t="shared" si="2"/>
        <v>755.19999999999993</v>
      </c>
      <c r="AQ11" s="23">
        <f t="shared" si="3"/>
        <v>2</v>
      </c>
      <c r="AR11" s="35" t="s">
        <v>48</v>
      </c>
      <c r="AU11" s="46"/>
      <c r="AW11" s="63" t="str">
        <f t="shared" si="4"/>
        <v>09:53:30</v>
      </c>
      <c r="AX11" s="10"/>
      <c r="AY11" s="160">
        <v>1</v>
      </c>
      <c r="AZ11" s="10"/>
      <c r="BA11" s="104" t="str">
        <f t="shared" si="5"/>
        <v>ЯСЕНЕВАЯ-12К1</v>
      </c>
      <c r="BB11" s="87">
        <f>AP11*3.5+10*60</f>
        <v>3243.2</v>
      </c>
      <c r="BD11" s="123"/>
      <c r="BE11" s="117" t="s">
        <v>1315</v>
      </c>
      <c r="BF11" s="89" t="s">
        <v>1315</v>
      </c>
      <c r="BG11" s="89" t="s">
        <v>1315</v>
      </c>
      <c r="BH11" s="89">
        <v>-6.7916666666666714</v>
      </c>
      <c r="BI11" s="89" t="s">
        <v>1315</v>
      </c>
      <c r="BJ11" s="89" t="s">
        <v>1315</v>
      </c>
      <c r="BK11" s="89" t="s">
        <v>1315</v>
      </c>
      <c r="BL11" s="10" t="s">
        <v>221</v>
      </c>
    </row>
    <row r="12" spans="1:66" ht="15" customHeight="1" x14ac:dyDescent="0.3">
      <c r="C12" s="1">
        <v>8</v>
      </c>
      <c r="D12" s="6">
        <v>803</v>
      </c>
      <c r="E12" s="6">
        <v>4803</v>
      </c>
      <c r="F12" s="36" t="s">
        <v>1368</v>
      </c>
      <c r="G12" s="8" t="s">
        <v>50</v>
      </c>
      <c r="H12" s="9">
        <v>20.8</v>
      </c>
      <c r="I12" s="9">
        <v>8.4600000000000009</v>
      </c>
      <c r="J12" s="9" t="s">
        <v>1315</v>
      </c>
      <c r="K12" s="1" t="s">
        <v>1729</v>
      </c>
      <c r="M12" s="2" t="s">
        <v>2037</v>
      </c>
      <c r="N12" s="1">
        <v>1</v>
      </c>
      <c r="O12" s="1">
        <v>3</v>
      </c>
      <c r="P12" s="1" t="s">
        <v>51</v>
      </c>
      <c r="Q12" s="10" t="s">
        <v>219</v>
      </c>
      <c r="R12" t="s">
        <v>2327</v>
      </c>
      <c r="S12">
        <v>7738771539</v>
      </c>
      <c r="T12">
        <v>89775647750</v>
      </c>
      <c r="U12" t="s">
        <v>2328</v>
      </c>
      <c r="V12" t="s">
        <v>2329</v>
      </c>
      <c r="W12">
        <v>9941098942</v>
      </c>
      <c r="X12" t="s">
        <v>2117</v>
      </c>
      <c r="Y12" t="s">
        <v>2325</v>
      </c>
      <c r="Z12" t="s">
        <v>2326</v>
      </c>
      <c r="AA12">
        <v>8</v>
      </c>
      <c r="AB12" s="6" t="s">
        <v>744</v>
      </c>
      <c r="AC12" s="2" t="s">
        <v>220</v>
      </c>
      <c r="AF12" s="14" t="s">
        <v>732</v>
      </c>
      <c r="AI12" s="6">
        <v>2</v>
      </c>
      <c r="AJ12" s="13" t="s">
        <v>1328</v>
      </c>
      <c r="AK12" t="str">
        <f ca="1">IF((WEEKDAY(TODAY(),2))=4,"13:00","16:00")</f>
        <v>16:00</v>
      </c>
      <c r="AL12" s="58" t="str">
        <f t="shared" ca="1" si="0"/>
        <v>09:00 - 16:00</v>
      </c>
      <c r="AM12" s="151">
        <v>4</v>
      </c>
      <c r="AN12" s="95">
        <f t="shared" si="1"/>
        <v>300000</v>
      </c>
      <c r="AO12" s="94" t="b">
        <v>1</v>
      </c>
      <c r="AP12" s="34">
        <f t="shared" si="2"/>
        <v>585.20000000000005</v>
      </c>
      <c r="AQ12" s="23">
        <f t="shared" si="3"/>
        <v>2</v>
      </c>
      <c r="AR12" s="35" t="s">
        <v>48</v>
      </c>
      <c r="AU12" s="46"/>
      <c r="AW12" s="63" t="str">
        <f t="shared" si="4"/>
        <v>10:53:50</v>
      </c>
      <c r="AX12" s="10"/>
      <c r="AY12" s="160">
        <v>2</v>
      </c>
      <c r="AZ12" s="10"/>
      <c r="BA12" s="104" t="str">
        <f t="shared" si="5"/>
        <v>КАШИРСКОЕ-Ш-65К1</v>
      </c>
      <c r="BB12" s="85">
        <f>AP12*4+10*60</f>
        <v>2940.8</v>
      </c>
      <c r="BD12" s="123"/>
      <c r="BE12" s="117" t="s">
        <v>1315</v>
      </c>
      <c r="BF12" s="89" t="s">
        <v>1315</v>
      </c>
      <c r="BG12" s="89" t="s">
        <v>1315</v>
      </c>
      <c r="BH12" s="89" t="s">
        <v>1315</v>
      </c>
      <c r="BI12" s="89">
        <v>-0.48333333333333428</v>
      </c>
      <c r="BJ12" s="89" t="s">
        <v>1315</v>
      </c>
      <c r="BK12" s="89" t="s">
        <v>1315</v>
      </c>
      <c r="BL12" s="36" t="s">
        <v>218</v>
      </c>
    </row>
    <row r="13" spans="1:66" ht="15" customHeight="1" x14ac:dyDescent="0.3">
      <c r="C13" s="1">
        <v>13</v>
      </c>
      <c r="D13" s="6">
        <v>257112</v>
      </c>
      <c r="E13" s="6">
        <v>4112</v>
      </c>
      <c r="F13" s="36" t="s">
        <v>1371</v>
      </c>
      <c r="G13" s="8" t="s">
        <v>43</v>
      </c>
      <c r="H13" s="9">
        <v>19.11</v>
      </c>
      <c r="I13" s="9">
        <v>16.13</v>
      </c>
      <c r="J13" s="9" t="s">
        <v>1315</v>
      </c>
      <c r="K13" s="1" t="s">
        <v>1729</v>
      </c>
      <c r="M13" s="2" t="s">
        <v>1912</v>
      </c>
      <c r="N13" s="1">
        <v>1</v>
      </c>
      <c r="O13" s="1">
        <v>4</v>
      </c>
      <c r="P13" s="1" t="s">
        <v>1050</v>
      </c>
      <c r="Q13" s="10" t="s">
        <v>1015</v>
      </c>
      <c r="R13" t="s">
        <v>2327</v>
      </c>
      <c r="S13">
        <v>7738771539</v>
      </c>
      <c r="T13">
        <v>89775647750</v>
      </c>
      <c r="U13" t="s">
        <v>2328</v>
      </c>
      <c r="V13" t="s">
        <v>2329</v>
      </c>
      <c r="W13">
        <v>9941098942</v>
      </c>
      <c r="X13" t="s">
        <v>2117</v>
      </c>
      <c r="Y13" t="s">
        <v>2325</v>
      </c>
      <c r="Z13" t="s">
        <v>2326</v>
      </c>
      <c r="AA13">
        <v>8</v>
      </c>
      <c r="AB13" s="6" t="s">
        <v>747</v>
      </c>
      <c r="AC13" s="10" t="s">
        <v>1016</v>
      </c>
      <c r="AF13" s="153" t="s">
        <v>1672</v>
      </c>
      <c r="AI13" s="6">
        <v>2</v>
      </c>
      <c r="AJ13" s="114" t="str">
        <f ca="1">IF((WEEKDAY(TODAY(),2))=6,"10:00","09:00")</f>
        <v>09:00</v>
      </c>
      <c r="AK13" s="142" t="str">
        <f>IF(AP13&gt;2000,"15:00",IF(AP13&lt;1000,"16:30","16:00"))</f>
        <v>16:30</v>
      </c>
      <c r="AL13" s="58" t="str">
        <f t="shared" ca="1" si="0"/>
        <v>09:00 - 16:30</v>
      </c>
      <c r="AM13" s="151">
        <v>4</v>
      </c>
      <c r="AN13" s="95">
        <f t="shared" si="1"/>
        <v>300000</v>
      </c>
      <c r="AO13" s="94" t="b">
        <v>1</v>
      </c>
      <c r="AP13" s="34">
        <f t="shared" si="2"/>
        <v>704.8</v>
      </c>
      <c r="AQ13" s="23">
        <f t="shared" si="3"/>
        <v>2</v>
      </c>
      <c r="AR13" s="35" t="s">
        <v>48</v>
      </c>
      <c r="AU13" s="46"/>
      <c r="AW13" s="63" t="str">
        <f t="shared" ca="1" si="4"/>
        <v>12:10:30</v>
      </c>
      <c r="AX13" s="10"/>
      <c r="AY13" s="160">
        <v>2</v>
      </c>
      <c r="AZ13" s="10"/>
      <c r="BA13" s="104" t="str">
        <f t="shared" si="5"/>
        <v>МИСАЙЛОВО-ПРИГОРОДНОЕ-Ш-7</v>
      </c>
      <c r="BB13" s="85">
        <f>AP13*3.5+10*60</f>
        <v>3066.7999999999997</v>
      </c>
      <c r="BD13" s="123"/>
      <c r="BE13" s="117" t="s">
        <v>1315</v>
      </c>
      <c r="BF13" s="89" t="s">
        <v>1315</v>
      </c>
      <c r="BG13" s="89" t="s">
        <v>1315</v>
      </c>
      <c r="BH13" s="89" t="s">
        <v>1315</v>
      </c>
      <c r="BI13" s="89" t="s">
        <v>1315</v>
      </c>
      <c r="BJ13" s="89" t="s">
        <v>1315</v>
      </c>
      <c r="BK13" s="89" t="s">
        <v>1315</v>
      </c>
      <c r="BL13" s="36" t="s">
        <v>1014</v>
      </c>
    </row>
    <row r="14" spans="1:66" ht="15" customHeight="1" x14ac:dyDescent="0.3">
      <c r="C14" s="1">
        <v>3</v>
      </c>
      <c r="D14" s="6">
        <v>776</v>
      </c>
      <c r="E14" s="6">
        <v>4776</v>
      </c>
      <c r="F14" s="1" t="s">
        <v>1364</v>
      </c>
      <c r="G14" s="8" t="s">
        <v>50</v>
      </c>
      <c r="H14" s="9">
        <v>20.68</v>
      </c>
      <c r="I14" s="9">
        <v>1.72</v>
      </c>
      <c r="J14" s="9" t="s">
        <v>1315</v>
      </c>
      <c r="K14" s="1" t="s">
        <v>1729</v>
      </c>
      <c r="M14" s="2" t="s">
        <v>1910</v>
      </c>
      <c r="N14" s="1">
        <v>1</v>
      </c>
      <c r="O14" s="1">
        <v>5</v>
      </c>
      <c r="P14" s="1" t="s">
        <v>51</v>
      </c>
      <c r="Q14" s="10" t="s">
        <v>213</v>
      </c>
      <c r="R14" t="s">
        <v>2327</v>
      </c>
      <c r="S14">
        <v>7738771539</v>
      </c>
      <c r="T14">
        <v>89775647750</v>
      </c>
      <c r="U14" t="s">
        <v>2328</v>
      </c>
      <c r="V14" t="s">
        <v>2329</v>
      </c>
      <c r="W14">
        <v>9941098942</v>
      </c>
      <c r="X14" t="s">
        <v>2117</v>
      </c>
      <c r="Y14" t="s">
        <v>2325</v>
      </c>
      <c r="Z14" t="s">
        <v>2326</v>
      </c>
      <c r="AA14">
        <v>8</v>
      </c>
      <c r="AB14" s="6" t="s">
        <v>742</v>
      </c>
      <c r="AC14" s="2" t="s">
        <v>214</v>
      </c>
      <c r="AF14" s="155" t="s">
        <v>732</v>
      </c>
      <c r="AI14" s="6">
        <v>2</v>
      </c>
      <c r="AJ14" s="13" t="s">
        <v>1328</v>
      </c>
      <c r="AK14" s="58">
        <v>0.54166666666666696</v>
      </c>
      <c r="AL14" s="58" t="str">
        <f t="shared" si="0"/>
        <v>09:00 - 13:00</v>
      </c>
      <c r="AM14" s="151">
        <v>4</v>
      </c>
      <c r="AN14" s="95">
        <f t="shared" si="1"/>
        <v>300000</v>
      </c>
      <c r="AO14" s="94" t="b">
        <v>1</v>
      </c>
      <c r="AP14" s="34">
        <f t="shared" si="2"/>
        <v>448</v>
      </c>
      <c r="AQ14" s="23">
        <f t="shared" si="3"/>
        <v>1</v>
      </c>
      <c r="AR14" s="35" t="s">
        <v>48</v>
      </c>
      <c r="AU14" s="46"/>
      <c r="AW14" s="63" t="str">
        <f t="shared" si="4"/>
        <v>13:38:18</v>
      </c>
      <c r="AX14" s="10"/>
      <c r="AY14" s="160">
        <v>1</v>
      </c>
      <c r="AZ14" s="10"/>
      <c r="BA14" s="104" t="str">
        <f t="shared" si="5"/>
        <v>НОВОЧЕРКАССКИЙ-Б-Р-55</v>
      </c>
      <c r="BB14" s="87">
        <f>AP14*3.5+10*60</f>
        <v>2168</v>
      </c>
      <c r="BD14" s="123"/>
      <c r="BE14" s="117" t="s">
        <v>1315</v>
      </c>
      <c r="BF14" s="89" t="s">
        <v>1315</v>
      </c>
      <c r="BG14" s="89" t="s">
        <v>1315</v>
      </c>
      <c r="BH14" s="89">
        <v>-2.460000000000008</v>
      </c>
      <c r="BI14" s="89" t="s">
        <v>1315</v>
      </c>
      <c r="BJ14" s="89">
        <v>48.43</v>
      </c>
      <c r="BK14" s="89" t="s">
        <v>1315</v>
      </c>
      <c r="BL14" s="1" t="s">
        <v>212</v>
      </c>
    </row>
    <row r="15" spans="1:66" ht="15" customHeight="1" x14ac:dyDescent="0.3">
      <c r="C15" s="1">
        <v>343</v>
      </c>
      <c r="D15" s="6">
        <v>25953</v>
      </c>
      <c r="E15" s="6">
        <v>4953</v>
      </c>
      <c r="F15" s="10" t="s">
        <v>1644</v>
      </c>
      <c r="G15" s="8" t="s">
        <v>43</v>
      </c>
      <c r="H15" s="9">
        <v>30.990000000000002</v>
      </c>
      <c r="I15" s="9">
        <v>7.32</v>
      </c>
      <c r="J15" s="179" t="s">
        <v>2087</v>
      </c>
      <c r="K15" s="1" t="s">
        <v>1709</v>
      </c>
      <c r="M15" s="2" t="s">
        <v>1329</v>
      </c>
      <c r="N15" s="1">
        <v>1</v>
      </c>
      <c r="O15" s="1">
        <v>1</v>
      </c>
      <c r="P15" s="1" t="s">
        <v>442</v>
      </c>
      <c r="Q15" s="1" t="s">
        <v>461</v>
      </c>
      <c r="R15" t="s">
        <v>2330</v>
      </c>
      <c r="S15">
        <v>9944246048</v>
      </c>
      <c r="T15">
        <v>89773475755</v>
      </c>
      <c r="U15" t="s">
        <v>2328</v>
      </c>
      <c r="V15" t="s">
        <v>2331</v>
      </c>
      <c r="W15">
        <v>9943505322</v>
      </c>
      <c r="X15" t="s">
        <v>2117</v>
      </c>
      <c r="Y15" t="s">
        <v>2325</v>
      </c>
      <c r="Z15" t="s">
        <v>2326</v>
      </c>
      <c r="AA15">
        <v>8</v>
      </c>
      <c r="AB15" s="6" t="s">
        <v>901</v>
      </c>
      <c r="AC15" s="2" t="s">
        <v>462</v>
      </c>
      <c r="AF15" s="153" t="s">
        <v>1672</v>
      </c>
      <c r="AI15" s="6">
        <v>2</v>
      </c>
      <c r="AJ15" s="114" t="str">
        <f ca="1">IF((WEEKDAY(TODAY(),2))=6,"10:00","09:30")</f>
        <v>09:30</v>
      </c>
      <c r="AK15" s="142" t="str">
        <f>IF(AP15&gt;2000,"15:00",IF(AP15&lt;1000,"16:30","16:00"))</f>
        <v>16:30</v>
      </c>
      <c r="AL15" s="58" t="str">
        <f t="shared" ca="1" si="0"/>
        <v>09:30 - 16:30</v>
      </c>
      <c r="AM15" s="151">
        <v>2</v>
      </c>
      <c r="AN15" s="95">
        <f t="shared" si="1"/>
        <v>300000</v>
      </c>
      <c r="AO15" s="94" t="b">
        <v>1</v>
      </c>
      <c r="AP15" s="34">
        <f t="shared" si="2"/>
        <v>766.2</v>
      </c>
      <c r="AQ15" s="23">
        <f t="shared" si="3"/>
        <v>2</v>
      </c>
      <c r="AR15" s="35" t="s">
        <v>48</v>
      </c>
      <c r="AW15" s="63" t="str">
        <f t="shared" ca="1" si="4"/>
        <v>09:30</v>
      </c>
      <c r="AX15" s="173"/>
      <c r="AY15" s="160">
        <v>2</v>
      </c>
      <c r="AZ15" s="10"/>
      <c r="BA15" s="104" t="str">
        <f t="shared" si="5"/>
        <v>МЫТИЩИ-АК-КАРГИНА-23А</v>
      </c>
      <c r="BB15" s="85">
        <f>AP15*3.8+10*60</f>
        <v>3511.56</v>
      </c>
      <c r="BD15" s="123"/>
      <c r="BE15" s="117" t="s">
        <v>1315</v>
      </c>
      <c r="BF15" s="89" t="s">
        <v>1315</v>
      </c>
      <c r="BG15" s="89" t="s">
        <v>1315</v>
      </c>
      <c r="BH15" s="89" t="s">
        <v>1315</v>
      </c>
      <c r="BI15" s="89" t="s">
        <v>1315</v>
      </c>
      <c r="BJ15" s="89" t="s">
        <v>1315</v>
      </c>
      <c r="BK15" s="89" t="s">
        <v>1315</v>
      </c>
      <c r="BL15" s="10" t="s">
        <v>460</v>
      </c>
    </row>
    <row r="16" spans="1:66" ht="15" customHeight="1" x14ac:dyDescent="0.3">
      <c r="C16" s="1">
        <v>334</v>
      </c>
      <c r="D16" s="6">
        <v>257161</v>
      </c>
      <c r="E16" s="6">
        <v>4161</v>
      </c>
      <c r="F16" s="40" t="s">
        <v>1535</v>
      </c>
      <c r="G16" s="8" t="s">
        <v>43</v>
      </c>
      <c r="H16" s="9">
        <v>17.61</v>
      </c>
      <c r="I16" s="9">
        <v>8.51</v>
      </c>
      <c r="J16" s="9" t="s">
        <v>1315</v>
      </c>
      <c r="K16" s="1" t="s">
        <v>1709</v>
      </c>
      <c r="M16" s="2" t="s">
        <v>1871</v>
      </c>
      <c r="N16" s="1">
        <v>1</v>
      </c>
      <c r="O16" s="1">
        <v>2</v>
      </c>
      <c r="P16" s="1" t="s">
        <v>442</v>
      </c>
      <c r="Q16" s="1" t="s">
        <v>1117</v>
      </c>
      <c r="R16" t="s">
        <v>2330</v>
      </c>
      <c r="S16">
        <v>9944246048</v>
      </c>
      <c r="T16">
        <v>89773475755</v>
      </c>
      <c r="U16" t="s">
        <v>2328</v>
      </c>
      <c r="V16" t="s">
        <v>2331</v>
      </c>
      <c r="W16">
        <v>9943505322</v>
      </c>
      <c r="X16" t="s">
        <v>2117</v>
      </c>
      <c r="Y16" t="s">
        <v>2325</v>
      </c>
      <c r="Z16" t="s">
        <v>2326</v>
      </c>
      <c r="AA16">
        <v>8</v>
      </c>
      <c r="AB16" s="6" t="s">
        <v>894</v>
      </c>
      <c r="AC16" s="2" t="s">
        <v>1116</v>
      </c>
      <c r="AF16" s="153" t="s">
        <v>1672</v>
      </c>
      <c r="AH16" s="25"/>
      <c r="AI16" s="6">
        <v>2</v>
      </c>
      <c r="AJ16" s="114" t="str">
        <f ca="1">IF((WEEKDAY(TODAY(),2))=6,"10:00","09:30")</f>
        <v>09:30</v>
      </c>
      <c r="AK16" s="162">
        <v>0.75</v>
      </c>
      <c r="AL16" s="58" t="str">
        <f t="shared" ca="1" si="0"/>
        <v>09:30 - 18:00</v>
      </c>
      <c r="AM16" s="151">
        <v>2</v>
      </c>
      <c r="AN16" s="95">
        <f t="shared" si="1"/>
        <v>300000</v>
      </c>
      <c r="AO16" s="94" t="b">
        <v>1</v>
      </c>
      <c r="AP16" s="34">
        <f t="shared" si="2"/>
        <v>522.4</v>
      </c>
      <c r="AQ16" s="23">
        <f t="shared" si="3"/>
        <v>1</v>
      </c>
      <c r="AR16" s="35" t="s">
        <v>48</v>
      </c>
      <c r="AW16" s="63" t="str">
        <f t="shared" ca="1" si="4"/>
        <v>10:49:24</v>
      </c>
      <c r="AX16" s="173"/>
      <c r="AY16" s="160">
        <v>3</v>
      </c>
      <c r="AZ16" s="10"/>
      <c r="BA16" s="104" t="str">
        <f t="shared" si="5"/>
        <v>1-СТРЕЛКОВЫЙ-ПЕР-3</v>
      </c>
      <c r="BB16" s="87">
        <f>AP16*3.5+10*60</f>
        <v>2428.3999999999996</v>
      </c>
      <c r="BD16" s="123"/>
      <c r="BE16" s="117" t="s">
        <v>1315</v>
      </c>
      <c r="BF16" s="89" t="s">
        <v>1315</v>
      </c>
      <c r="BG16" s="89" t="s">
        <v>1315</v>
      </c>
      <c r="BH16" s="89" t="s">
        <v>1315</v>
      </c>
      <c r="BI16" s="89" t="s">
        <v>1315</v>
      </c>
      <c r="BJ16" s="89" t="s">
        <v>1315</v>
      </c>
      <c r="BK16" s="89" t="s">
        <v>1315</v>
      </c>
      <c r="BL16" s="40" t="s">
        <v>1115</v>
      </c>
    </row>
    <row r="17" spans="1:65" ht="15" customHeight="1" x14ac:dyDescent="0.3">
      <c r="C17" s="1">
        <v>341</v>
      </c>
      <c r="D17" s="6">
        <v>25711</v>
      </c>
      <c r="E17" s="6">
        <v>4711</v>
      </c>
      <c r="F17" s="1" t="s">
        <v>1541</v>
      </c>
      <c r="G17" s="8" t="s">
        <v>43</v>
      </c>
      <c r="H17" s="9">
        <v>19.86</v>
      </c>
      <c r="I17" s="9">
        <v>12.76</v>
      </c>
      <c r="J17" s="9" t="s">
        <v>1315</v>
      </c>
      <c r="K17" s="1" t="s">
        <v>1709</v>
      </c>
      <c r="M17" s="2" t="s">
        <v>1869</v>
      </c>
      <c r="N17" s="1">
        <v>1</v>
      </c>
      <c r="O17" s="1">
        <v>3</v>
      </c>
      <c r="P17" s="1" t="s">
        <v>442</v>
      </c>
      <c r="Q17" s="1" t="s">
        <v>458</v>
      </c>
      <c r="R17" t="s">
        <v>2330</v>
      </c>
      <c r="S17">
        <v>9944246048</v>
      </c>
      <c r="T17">
        <v>89773475755</v>
      </c>
      <c r="U17" t="s">
        <v>2328</v>
      </c>
      <c r="V17" t="s">
        <v>2331</v>
      </c>
      <c r="W17">
        <v>9943505322</v>
      </c>
      <c r="X17" t="s">
        <v>2117</v>
      </c>
      <c r="Y17" t="s">
        <v>2325</v>
      </c>
      <c r="Z17" t="s">
        <v>2326</v>
      </c>
      <c r="AA17">
        <v>8</v>
      </c>
      <c r="AB17" s="6" t="s">
        <v>900</v>
      </c>
      <c r="AC17" s="2" t="s">
        <v>459</v>
      </c>
      <c r="AF17" s="153" t="s">
        <v>1672</v>
      </c>
      <c r="AH17" s="25"/>
      <c r="AI17" s="6">
        <v>2</v>
      </c>
      <c r="AJ17" s="114" t="str">
        <f ca="1">IF((WEEKDAY(TODAY(),2))=6,"10:00","09:00")</f>
        <v>09:00</v>
      </c>
      <c r="AK17" s="58">
        <v>0.54166666666666696</v>
      </c>
      <c r="AL17" s="58" t="str">
        <f t="shared" ca="1" si="0"/>
        <v>09:00 - 13:00</v>
      </c>
      <c r="AM17" s="151">
        <v>2</v>
      </c>
      <c r="AN17" s="95">
        <f t="shared" si="1"/>
        <v>300000</v>
      </c>
      <c r="AO17" s="94" t="b">
        <v>1</v>
      </c>
      <c r="AP17" s="34">
        <f t="shared" si="2"/>
        <v>652.4</v>
      </c>
      <c r="AQ17" s="23">
        <f t="shared" si="3"/>
        <v>2</v>
      </c>
      <c r="AR17" s="35" t="s">
        <v>48</v>
      </c>
      <c r="AW17" s="63" t="str">
        <f t="shared" ca="1" si="4"/>
        <v>11:56:41</v>
      </c>
      <c r="AX17" s="173"/>
      <c r="AY17" s="160">
        <v>1</v>
      </c>
      <c r="AZ17" s="10"/>
      <c r="BA17" s="104" t="str">
        <f t="shared" si="5"/>
        <v>МЫТИЩИ-РОЖДЕСТВЕНСКАЯ-11</v>
      </c>
      <c r="BB17" s="87">
        <f>AP17*3.5+10*60</f>
        <v>2883.4</v>
      </c>
      <c r="BD17" s="123"/>
      <c r="BE17" s="117" t="s">
        <v>1315</v>
      </c>
      <c r="BF17" s="89">
        <v>-27.166666666666664</v>
      </c>
      <c r="BG17" s="89">
        <v>12.176666666666662</v>
      </c>
      <c r="BH17" s="89" t="s">
        <v>1315</v>
      </c>
      <c r="BI17" s="89" t="s">
        <v>1315</v>
      </c>
      <c r="BJ17" s="89" t="s">
        <v>1315</v>
      </c>
      <c r="BK17" s="89" t="s">
        <v>1315</v>
      </c>
      <c r="BL17" s="1" t="s">
        <v>457</v>
      </c>
    </row>
    <row r="18" spans="1:65" ht="15" customHeight="1" x14ac:dyDescent="0.3">
      <c r="C18" s="1">
        <v>336</v>
      </c>
      <c r="D18" s="6">
        <v>25682</v>
      </c>
      <c r="E18" s="6">
        <v>7682</v>
      </c>
      <c r="F18" s="1" t="s">
        <v>1536</v>
      </c>
      <c r="G18" s="8" t="s">
        <v>43</v>
      </c>
      <c r="H18" s="9">
        <v>13.98</v>
      </c>
      <c r="I18" s="9">
        <v>3.99</v>
      </c>
      <c r="J18" s="9" t="s">
        <v>1315</v>
      </c>
      <c r="K18" s="1" t="s">
        <v>1709</v>
      </c>
      <c r="M18" s="2" t="s">
        <v>1861</v>
      </c>
      <c r="N18" s="1">
        <v>1</v>
      </c>
      <c r="O18" s="1">
        <v>4</v>
      </c>
      <c r="P18" s="1" t="s">
        <v>442</v>
      </c>
      <c r="Q18" s="1" t="s">
        <v>443</v>
      </c>
      <c r="R18" t="s">
        <v>2330</v>
      </c>
      <c r="S18">
        <v>9944246048</v>
      </c>
      <c r="T18">
        <v>89773475755</v>
      </c>
      <c r="U18" t="s">
        <v>2328</v>
      </c>
      <c r="V18" t="s">
        <v>2331</v>
      </c>
      <c r="W18">
        <v>9943505322</v>
      </c>
      <c r="X18" t="s">
        <v>2117</v>
      </c>
      <c r="Y18" t="s">
        <v>2325</v>
      </c>
      <c r="Z18" t="s">
        <v>2326</v>
      </c>
      <c r="AA18">
        <v>8</v>
      </c>
      <c r="AB18" s="6" t="s">
        <v>895</v>
      </c>
      <c r="AC18" s="2" t="s">
        <v>444</v>
      </c>
      <c r="AF18" s="156" t="s">
        <v>1681</v>
      </c>
      <c r="AH18" s="25"/>
      <c r="AI18" s="6">
        <v>2</v>
      </c>
      <c r="AJ18" s="114" t="str">
        <f t="shared" ref="AJ18:AJ23" ca="1" si="6">IF((WEEKDAY(TODAY(),2))=6,"10:00","09:30")</f>
        <v>09:30</v>
      </c>
      <c r="AK18" s="162">
        <v>0.75</v>
      </c>
      <c r="AL18" s="58" t="str">
        <f t="shared" ca="1" si="0"/>
        <v>09:30 - 18:00</v>
      </c>
      <c r="AM18" s="151">
        <v>2</v>
      </c>
      <c r="AN18" s="95">
        <f t="shared" si="1"/>
        <v>300000</v>
      </c>
      <c r="AO18" s="94" t="b">
        <v>1</v>
      </c>
      <c r="AP18" s="34">
        <f t="shared" si="2"/>
        <v>359.40000000000003</v>
      </c>
      <c r="AQ18" s="23">
        <f t="shared" si="3"/>
        <v>1</v>
      </c>
      <c r="AR18" s="35" t="s">
        <v>48</v>
      </c>
      <c r="AW18" s="63" t="str">
        <f t="shared" ca="1" si="4"/>
        <v>13:01:30</v>
      </c>
      <c r="AX18" s="173"/>
      <c r="AY18" s="160">
        <v>3</v>
      </c>
      <c r="AZ18" s="10"/>
      <c r="BA18" s="104" t="str">
        <f t="shared" si="5"/>
        <v>МЫТИЩИ-КОЛПАКОВА-26</v>
      </c>
      <c r="BB18" s="52">
        <f>AP18*3.7+10*60</f>
        <v>1929.7800000000002</v>
      </c>
      <c r="BD18" s="123"/>
      <c r="BE18" s="117" t="s">
        <v>1315</v>
      </c>
      <c r="BF18" s="89" t="s">
        <v>1315</v>
      </c>
      <c r="BG18" s="89">
        <v>-10.129666666666658</v>
      </c>
      <c r="BH18" s="89">
        <v>8.0403333333333293</v>
      </c>
      <c r="BI18" s="89" t="s">
        <v>1315</v>
      </c>
      <c r="BJ18" s="89">
        <v>54.853000000000002</v>
      </c>
      <c r="BK18" s="89" t="s">
        <v>1315</v>
      </c>
      <c r="BL18" s="1" t="s">
        <v>441</v>
      </c>
    </row>
    <row r="19" spans="1:65" ht="15" customHeight="1" x14ac:dyDescent="0.3">
      <c r="C19" s="1">
        <v>337</v>
      </c>
      <c r="D19" s="6">
        <v>25966</v>
      </c>
      <c r="E19" s="6">
        <v>4966</v>
      </c>
      <c r="F19" s="36" t="s">
        <v>1537</v>
      </c>
      <c r="G19" s="8" t="s">
        <v>43</v>
      </c>
      <c r="H19" s="9">
        <v>21.38</v>
      </c>
      <c r="I19" s="9">
        <v>6.51</v>
      </c>
      <c r="J19" s="9" t="s">
        <v>1315</v>
      </c>
      <c r="K19" s="1" t="s">
        <v>1709</v>
      </c>
      <c r="M19" s="2" t="s">
        <v>1862</v>
      </c>
      <c r="N19" s="1">
        <v>1</v>
      </c>
      <c r="O19" s="1">
        <v>5</v>
      </c>
      <c r="P19" s="1" t="s">
        <v>442</v>
      </c>
      <c r="Q19" s="1" t="s">
        <v>446</v>
      </c>
      <c r="R19" t="s">
        <v>2330</v>
      </c>
      <c r="S19">
        <v>9944246048</v>
      </c>
      <c r="T19">
        <v>89773475755</v>
      </c>
      <c r="U19" t="s">
        <v>2328</v>
      </c>
      <c r="V19" t="s">
        <v>2331</v>
      </c>
      <c r="W19">
        <v>9943505322</v>
      </c>
      <c r="X19" t="s">
        <v>2117</v>
      </c>
      <c r="Y19" t="s">
        <v>2325</v>
      </c>
      <c r="Z19" t="s">
        <v>2326</v>
      </c>
      <c r="AA19">
        <v>8</v>
      </c>
      <c r="AB19" s="6" t="s">
        <v>896</v>
      </c>
      <c r="AC19" s="2" t="s">
        <v>447</v>
      </c>
      <c r="AF19" s="153" t="s">
        <v>1672</v>
      </c>
      <c r="AH19" s="25"/>
      <c r="AI19" s="6">
        <v>2</v>
      </c>
      <c r="AJ19" s="114" t="str">
        <f t="shared" ca="1" si="6"/>
        <v>09:30</v>
      </c>
      <c r="AK19" s="162">
        <v>0.75</v>
      </c>
      <c r="AL19" s="58" t="str">
        <f t="shared" ca="1" si="0"/>
        <v>09:30 - 18:00</v>
      </c>
      <c r="AM19" s="151">
        <v>2</v>
      </c>
      <c r="AN19" s="95">
        <f t="shared" si="1"/>
        <v>300000</v>
      </c>
      <c r="AO19" s="94" t="b">
        <v>1</v>
      </c>
      <c r="AP19" s="34">
        <f t="shared" si="2"/>
        <v>557.79999999999995</v>
      </c>
      <c r="AQ19" s="23">
        <f t="shared" si="3"/>
        <v>2</v>
      </c>
      <c r="AR19" s="35" t="s">
        <v>48</v>
      </c>
      <c r="AW19" s="63" t="str">
        <f t="shared" ca="1" si="4"/>
        <v>13:40:32</v>
      </c>
      <c r="AX19" s="173"/>
      <c r="AY19" s="160">
        <v>3</v>
      </c>
      <c r="AZ19" s="10"/>
      <c r="BA19" s="104" t="str">
        <f t="shared" si="5"/>
        <v>МЫТИЩИ-АСТРАХОВА-ПР-Т-2</v>
      </c>
      <c r="BB19" s="85">
        <f>AP19*3+10*60</f>
        <v>2273.3999999999996</v>
      </c>
      <c r="BD19" s="123"/>
      <c r="BE19" s="117" t="s">
        <v>1315</v>
      </c>
      <c r="BF19" s="89" t="s">
        <v>1315</v>
      </c>
      <c r="BG19" s="89" t="s">
        <v>1315</v>
      </c>
      <c r="BH19" s="89">
        <v>13.450000000000003</v>
      </c>
      <c r="BI19" s="89" t="s">
        <v>1315</v>
      </c>
      <c r="BJ19" s="89" t="s">
        <v>1315</v>
      </c>
      <c r="BK19" s="89" t="s">
        <v>1315</v>
      </c>
      <c r="BL19" s="36" t="s">
        <v>445</v>
      </c>
    </row>
    <row r="20" spans="1:65" ht="15" customHeight="1" x14ac:dyDescent="0.3">
      <c r="C20" s="1">
        <v>548</v>
      </c>
      <c r="D20" s="6">
        <v>25979</v>
      </c>
      <c r="E20" s="6">
        <v>4979</v>
      </c>
      <c r="F20" s="36" t="s">
        <v>1608</v>
      </c>
      <c r="G20" s="8" t="s">
        <v>43</v>
      </c>
      <c r="H20" s="9">
        <v>25.330000000000002</v>
      </c>
      <c r="I20" s="9">
        <v>8</v>
      </c>
      <c r="J20" s="179" t="s">
        <v>2087</v>
      </c>
      <c r="K20" s="1" t="s">
        <v>1699</v>
      </c>
      <c r="M20" s="2" t="s">
        <v>1919</v>
      </c>
      <c r="N20" s="1">
        <v>1</v>
      </c>
      <c r="O20" s="1">
        <v>1</v>
      </c>
      <c r="P20" s="1" t="s">
        <v>236</v>
      </c>
      <c r="Q20" s="10" t="s">
        <v>610</v>
      </c>
      <c r="R20" t="s">
        <v>2332</v>
      </c>
      <c r="S20">
        <v>9907625470</v>
      </c>
      <c r="T20">
        <v>89965336717</v>
      </c>
      <c r="U20" t="s">
        <v>2328</v>
      </c>
      <c r="V20" t="s">
        <v>2333</v>
      </c>
      <c r="W20">
        <v>9972976650</v>
      </c>
      <c r="X20" t="s">
        <v>2117</v>
      </c>
      <c r="Y20" t="s">
        <v>2325</v>
      </c>
      <c r="Z20" t="s">
        <v>2326</v>
      </c>
      <c r="AA20">
        <v>8</v>
      </c>
      <c r="AB20" s="6" t="s">
        <v>1222</v>
      </c>
      <c r="AC20" s="2" t="s">
        <v>611</v>
      </c>
      <c r="AF20" s="168" t="s">
        <v>1681</v>
      </c>
      <c r="AI20" s="6">
        <v>2</v>
      </c>
      <c r="AJ20" s="114" t="str">
        <f t="shared" ca="1" si="6"/>
        <v>09:30</v>
      </c>
      <c r="AK20" s="142" t="str">
        <f>IF(AP20&gt;2000,"15:00",IF(AP20&lt;1000,"16:30","16:00"))</f>
        <v>16:30</v>
      </c>
      <c r="AL20" s="58" t="str">
        <f t="shared" ca="1" si="0"/>
        <v>09:30 - 16:30</v>
      </c>
      <c r="AM20" s="151">
        <v>3</v>
      </c>
      <c r="AN20" s="95">
        <f t="shared" si="1"/>
        <v>300000</v>
      </c>
      <c r="AO20" s="94" t="b">
        <v>1</v>
      </c>
      <c r="AP20" s="34">
        <f t="shared" si="2"/>
        <v>666.6</v>
      </c>
      <c r="AQ20" s="23">
        <f t="shared" si="3"/>
        <v>2</v>
      </c>
      <c r="AR20" s="35" t="s">
        <v>48</v>
      </c>
      <c r="AW20" s="63" t="str">
        <f t="shared" ca="1" si="4"/>
        <v>11:21:03</v>
      </c>
      <c r="AX20" s="10"/>
      <c r="AY20" s="160">
        <v>2</v>
      </c>
      <c r="AZ20" s="10"/>
      <c r="BA20" s="104" t="str">
        <f t="shared" si="5"/>
        <v>ЛЮБЕРЦЫ-КОМСОМОЛ-ПР-Т-16К2</v>
      </c>
      <c r="BB20" s="87">
        <f>AP20*3.5+10*60</f>
        <v>2933.1</v>
      </c>
      <c r="BD20" s="123"/>
      <c r="BE20" s="117" t="s">
        <v>1315</v>
      </c>
      <c r="BF20" s="89" t="s">
        <v>1315</v>
      </c>
      <c r="BG20" s="89" t="s">
        <v>1315</v>
      </c>
      <c r="BH20" s="89" t="s">
        <v>1315</v>
      </c>
      <c r="BI20" s="89" t="s">
        <v>1315</v>
      </c>
      <c r="BJ20" s="89" t="s">
        <v>1315</v>
      </c>
      <c r="BK20" s="89" t="s">
        <v>1315</v>
      </c>
      <c r="BL20" s="36" t="s">
        <v>609</v>
      </c>
    </row>
    <row r="21" spans="1:65" ht="15" customHeight="1" x14ac:dyDescent="0.3">
      <c r="C21" s="1">
        <v>546</v>
      </c>
      <c r="D21" s="6">
        <v>25993</v>
      </c>
      <c r="E21" s="6">
        <v>4993</v>
      </c>
      <c r="F21" s="37" t="s">
        <v>1606</v>
      </c>
      <c r="G21" s="8" t="s">
        <v>43</v>
      </c>
      <c r="H21" s="9">
        <v>28.95</v>
      </c>
      <c r="I21" s="9">
        <v>9.1300000000000008</v>
      </c>
      <c r="J21" s="9" t="s">
        <v>1315</v>
      </c>
      <c r="K21" s="1" t="s">
        <v>1699</v>
      </c>
      <c r="L21" s="2" t="s">
        <v>44</v>
      </c>
      <c r="M21" s="2" t="s">
        <v>1848</v>
      </c>
      <c r="N21" s="1">
        <v>1</v>
      </c>
      <c r="O21" s="1">
        <v>2</v>
      </c>
      <c r="P21" s="1" t="s">
        <v>236</v>
      </c>
      <c r="Q21" s="10" t="s">
        <v>604</v>
      </c>
      <c r="R21" t="s">
        <v>2332</v>
      </c>
      <c r="S21">
        <v>9907625470</v>
      </c>
      <c r="T21">
        <v>89965336717</v>
      </c>
      <c r="U21" t="s">
        <v>2328</v>
      </c>
      <c r="V21" t="s">
        <v>2333</v>
      </c>
      <c r="W21">
        <v>9972976650</v>
      </c>
      <c r="X21" t="s">
        <v>2117</v>
      </c>
      <c r="Y21" t="s">
        <v>2325</v>
      </c>
      <c r="Z21" t="s">
        <v>2326</v>
      </c>
      <c r="AA21">
        <v>8</v>
      </c>
      <c r="AB21" s="6" t="s">
        <v>1220</v>
      </c>
      <c r="AC21" s="2" t="s">
        <v>605</v>
      </c>
      <c r="AF21" s="168" t="s">
        <v>1681</v>
      </c>
      <c r="AI21" s="6">
        <v>2</v>
      </c>
      <c r="AJ21" s="114" t="str">
        <f t="shared" ca="1" si="6"/>
        <v>09:30</v>
      </c>
      <c r="AK21" s="142" t="str">
        <f>IF(AP21&gt;2000,"15:00",IF(AP21&lt;1000,"16:30","16:00"))</f>
        <v>16:30</v>
      </c>
      <c r="AL21" s="58" t="str">
        <f t="shared" ca="1" si="0"/>
        <v>09:30 - 16:30</v>
      </c>
      <c r="AM21" s="151">
        <v>3</v>
      </c>
      <c r="AN21" s="95">
        <f t="shared" si="1"/>
        <v>300000</v>
      </c>
      <c r="AO21" s="94" t="b">
        <v>1</v>
      </c>
      <c r="AP21" s="34">
        <f t="shared" si="2"/>
        <v>761.6</v>
      </c>
      <c r="AQ21" s="23">
        <f t="shared" si="3"/>
        <v>2</v>
      </c>
      <c r="AR21" s="35" t="s">
        <v>48</v>
      </c>
      <c r="AW21" s="63" t="str">
        <f t="shared" ca="1" si="4"/>
        <v>12:18:18</v>
      </c>
      <c r="AX21" s="10"/>
      <c r="AY21" s="160">
        <v>2</v>
      </c>
      <c r="AZ21" s="10"/>
      <c r="BA21" s="104" t="str">
        <f t="shared" si="5"/>
        <v>ЛЮБЕРЦЫ-ИНИЦИАТИВНАЯ-7В</v>
      </c>
      <c r="BB21" s="85">
        <f>AP21*3+10*60</f>
        <v>2884.8</v>
      </c>
      <c r="BD21" s="123"/>
      <c r="BE21" s="117" t="s">
        <v>1315</v>
      </c>
      <c r="BF21" s="89" t="s">
        <v>1315</v>
      </c>
      <c r="BG21" s="89">
        <v>-0.81666666666666998</v>
      </c>
      <c r="BH21" s="89">
        <v>-27.080000000000002</v>
      </c>
      <c r="BI21" s="89" t="s">
        <v>1315</v>
      </c>
      <c r="BJ21" s="89">
        <v>8.1600000000000037</v>
      </c>
      <c r="BK21" s="89" t="s">
        <v>1315</v>
      </c>
      <c r="BL21" s="37" t="s">
        <v>603</v>
      </c>
    </row>
    <row r="22" spans="1:65" ht="15" customHeight="1" x14ac:dyDescent="0.3">
      <c r="C22" s="1">
        <v>547</v>
      </c>
      <c r="D22" s="6">
        <v>25973</v>
      </c>
      <c r="E22" s="6">
        <v>4973</v>
      </c>
      <c r="F22" s="17" t="s">
        <v>1607</v>
      </c>
      <c r="G22" s="8" t="s">
        <v>43</v>
      </c>
      <c r="H22" s="9">
        <v>14.19</v>
      </c>
      <c r="I22" s="9">
        <v>10.49</v>
      </c>
      <c r="J22" s="9" t="s">
        <v>1315</v>
      </c>
      <c r="K22" s="1" t="s">
        <v>1699</v>
      </c>
      <c r="L22" s="2">
        <v>2</v>
      </c>
      <c r="M22" s="2" t="s">
        <v>1917</v>
      </c>
      <c r="N22" s="1">
        <v>1</v>
      </c>
      <c r="O22" s="1">
        <v>3</v>
      </c>
      <c r="P22" s="1" t="s">
        <v>236</v>
      </c>
      <c r="Q22" s="10" t="s">
        <v>607</v>
      </c>
      <c r="R22" t="s">
        <v>2332</v>
      </c>
      <c r="S22">
        <v>9907625470</v>
      </c>
      <c r="T22">
        <v>89965336717</v>
      </c>
      <c r="U22" t="s">
        <v>2328</v>
      </c>
      <c r="V22" t="s">
        <v>2333</v>
      </c>
      <c r="W22">
        <v>9972976650</v>
      </c>
      <c r="X22" t="s">
        <v>2117</v>
      </c>
      <c r="Y22" t="s">
        <v>2325</v>
      </c>
      <c r="Z22" t="s">
        <v>2326</v>
      </c>
      <c r="AA22">
        <v>8</v>
      </c>
      <c r="AB22" s="6" t="s">
        <v>1221</v>
      </c>
      <c r="AC22" s="2" t="s">
        <v>608</v>
      </c>
      <c r="AF22" s="14" t="s">
        <v>1678</v>
      </c>
      <c r="AI22" s="6">
        <v>2</v>
      </c>
      <c r="AJ22" s="114" t="str">
        <f t="shared" ca="1" si="6"/>
        <v>09:30</v>
      </c>
      <c r="AK22" s="174">
        <v>0.58333333333333337</v>
      </c>
      <c r="AL22" s="58" t="str">
        <f t="shared" ca="1" si="0"/>
        <v>09:30 - 14:00</v>
      </c>
      <c r="AM22" s="151">
        <v>3</v>
      </c>
      <c r="AN22" s="95">
        <f t="shared" si="1"/>
        <v>300000</v>
      </c>
      <c r="AO22" s="94" t="b">
        <v>1</v>
      </c>
      <c r="AP22" s="34">
        <f t="shared" si="2"/>
        <v>493.6</v>
      </c>
      <c r="AQ22" s="23">
        <f t="shared" si="3"/>
        <v>1</v>
      </c>
      <c r="AR22" s="35" t="s">
        <v>48</v>
      </c>
      <c r="AW22" s="63" t="str">
        <f t="shared" ca="1" si="4"/>
        <v>13:15:57</v>
      </c>
      <c r="AX22" s="10"/>
      <c r="AY22" s="160">
        <v>2</v>
      </c>
      <c r="AZ22" s="10"/>
      <c r="BA22" s="104" t="str">
        <f t="shared" si="5"/>
        <v>ЛЮБЕРЦЫ-8-МАРТА-18К1</v>
      </c>
      <c r="BB22" s="85">
        <f>AP22*4.1+10*60</f>
        <v>2623.76</v>
      </c>
      <c r="BD22" s="123"/>
      <c r="BE22" s="117" t="s">
        <v>1315</v>
      </c>
      <c r="BF22" s="89">
        <v>-2.9476666666666702</v>
      </c>
      <c r="BG22" s="89">
        <v>-0.39433333333334275</v>
      </c>
      <c r="BH22" s="89">
        <v>-26.614666666666668</v>
      </c>
      <c r="BI22" s="89" t="s">
        <v>1315</v>
      </c>
      <c r="BJ22" s="89">
        <v>-3.9849999999999923</v>
      </c>
      <c r="BK22" s="89" t="s">
        <v>1315</v>
      </c>
      <c r="BL22" s="17" t="s">
        <v>606</v>
      </c>
    </row>
    <row r="23" spans="1:65" ht="15" customHeight="1" x14ac:dyDescent="0.3">
      <c r="C23" s="1">
        <v>556</v>
      </c>
      <c r="D23" s="6">
        <v>25995</v>
      </c>
      <c r="E23" s="6">
        <v>4995</v>
      </c>
      <c r="F23" s="2" t="s">
        <v>1611</v>
      </c>
      <c r="G23" s="8" t="s">
        <v>43</v>
      </c>
      <c r="H23" s="9">
        <v>18.28</v>
      </c>
      <c r="I23" s="9">
        <v>7.67</v>
      </c>
      <c r="J23" s="9" t="s">
        <v>1315</v>
      </c>
      <c r="K23" s="1" t="s">
        <v>1699</v>
      </c>
      <c r="M23" s="2" t="s">
        <v>1849</v>
      </c>
      <c r="N23" s="1">
        <v>1</v>
      </c>
      <c r="O23" s="1">
        <v>4</v>
      </c>
      <c r="P23" s="1" t="s">
        <v>236</v>
      </c>
      <c r="Q23" s="10" t="s">
        <v>619</v>
      </c>
      <c r="R23" t="s">
        <v>2332</v>
      </c>
      <c r="S23">
        <v>9907625470</v>
      </c>
      <c r="T23">
        <v>89965336717</v>
      </c>
      <c r="U23" t="s">
        <v>2328</v>
      </c>
      <c r="V23" t="s">
        <v>2333</v>
      </c>
      <c r="W23">
        <v>9972976650</v>
      </c>
      <c r="X23" t="s">
        <v>2117</v>
      </c>
      <c r="Y23" t="s">
        <v>2325</v>
      </c>
      <c r="Z23" t="s">
        <v>2326</v>
      </c>
      <c r="AA23">
        <v>8</v>
      </c>
      <c r="AB23" s="6" t="s">
        <v>1232</v>
      </c>
      <c r="AC23" s="2" t="s">
        <v>620</v>
      </c>
      <c r="AF23" s="14" t="s">
        <v>732</v>
      </c>
      <c r="AI23" s="6">
        <v>2</v>
      </c>
      <c r="AJ23" s="114" t="str">
        <f t="shared" ca="1" si="6"/>
        <v>09:30</v>
      </c>
      <c r="AK23" s="142" t="str">
        <f>IF(AP23&gt;2000,"15:00",IF(AP23&lt;1000,"16:30","16:00"))</f>
        <v>16:30</v>
      </c>
      <c r="AL23" s="58" t="str">
        <f t="shared" ca="1" si="0"/>
        <v>09:30 - 16:30</v>
      </c>
      <c r="AM23" s="151">
        <v>3</v>
      </c>
      <c r="AN23" s="95">
        <f t="shared" si="1"/>
        <v>300000</v>
      </c>
      <c r="AO23" s="94" t="b">
        <v>1</v>
      </c>
      <c r="AP23" s="34">
        <f t="shared" si="2"/>
        <v>519</v>
      </c>
      <c r="AQ23" s="23">
        <f t="shared" si="3"/>
        <v>1</v>
      </c>
      <c r="AR23" s="35" t="s">
        <v>48</v>
      </c>
      <c r="AW23" s="63" t="str">
        <f t="shared" ca="1" si="4"/>
        <v>14:25:52</v>
      </c>
      <c r="AX23" s="10"/>
      <c r="AY23" s="160">
        <v>2</v>
      </c>
      <c r="AZ23" s="10"/>
      <c r="BA23" s="104" t="str">
        <f t="shared" si="5"/>
        <v>ЛЮБЕРЦЫ-КАМОВА-5К1</v>
      </c>
      <c r="BB23" s="85">
        <f>AP23*3+10*60</f>
        <v>2157</v>
      </c>
      <c r="BD23" s="123"/>
      <c r="BE23" s="117" t="s">
        <v>1315</v>
      </c>
      <c r="BF23" s="89">
        <v>1.0033333333333303</v>
      </c>
      <c r="BG23" s="89">
        <v>7.9499999999999957</v>
      </c>
      <c r="BH23" s="89">
        <v>24.14</v>
      </c>
      <c r="BI23" s="89" t="s">
        <v>1315</v>
      </c>
      <c r="BJ23" s="89" t="s">
        <v>1315</v>
      </c>
      <c r="BK23" s="89" t="s">
        <v>1315</v>
      </c>
      <c r="BL23" s="2" t="s">
        <v>618</v>
      </c>
    </row>
    <row r="24" spans="1:65" ht="15" customHeight="1" x14ac:dyDescent="0.3">
      <c r="C24" s="1">
        <v>563</v>
      </c>
      <c r="D24" s="6">
        <v>25914</v>
      </c>
      <c r="E24" s="6">
        <v>4914</v>
      </c>
      <c r="F24" s="1" t="s">
        <v>1613</v>
      </c>
      <c r="G24" s="8" t="s">
        <v>43</v>
      </c>
      <c r="H24" s="9">
        <v>18.59</v>
      </c>
      <c r="I24" s="9">
        <v>3.31</v>
      </c>
      <c r="J24" s="9" t="s">
        <v>1315</v>
      </c>
      <c r="K24" s="1" t="s">
        <v>1699</v>
      </c>
      <c r="M24" s="2" t="s">
        <v>2077</v>
      </c>
      <c r="N24" s="1">
        <v>1</v>
      </c>
      <c r="O24" s="1">
        <v>5</v>
      </c>
      <c r="P24" s="1" t="s">
        <v>487</v>
      </c>
      <c r="Q24" s="10" t="s">
        <v>1190</v>
      </c>
      <c r="R24" t="s">
        <v>2332</v>
      </c>
      <c r="S24">
        <v>9907625470</v>
      </c>
      <c r="T24">
        <v>89965336717</v>
      </c>
      <c r="U24" t="s">
        <v>2328</v>
      </c>
      <c r="V24" t="s">
        <v>2333</v>
      </c>
      <c r="W24">
        <v>9972976650</v>
      </c>
      <c r="X24" t="s">
        <v>2117</v>
      </c>
      <c r="Y24" t="s">
        <v>2325</v>
      </c>
      <c r="Z24" t="s">
        <v>2326</v>
      </c>
      <c r="AA24">
        <v>8</v>
      </c>
      <c r="AB24" s="6" t="s">
        <v>1240</v>
      </c>
      <c r="AC24" s="2" t="s">
        <v>624</v>
      </c>
      <c r="AF24" s="153" t="s">
        <v>1672</v>
      </c>
      <c r="AI24" s="6">
        <v>2</v>
      </c>
      <c r="AJ24" s="114" t="str">
        <f ca="1">IF((WEEKDAY(TODAY(),2))=6,"10:00","09:00")</f>
        <v>09:00</v>
      </c>
      <c r="AK24" s="142" t="str">
        <f>IF(AP24&gt;2000,"15:00",IF(AP24&lt;1000,"16:30","16:00"))</f>
        <v>16:30</v>
      </c>
      <c r="AL24" s="58" t="str">
        <f t="shared" ca="1" si="0"/>
        <v>09:00 - 16:30</v>
      </c>
      <c r="AM24" s="151">
        <v>3</v>
      </c>
      <c r="AN24" s="95">
        <f t="shared" si="1"/>
        <v>300000</v>
      </c>
      <c r="AO24" s="94" t="b">
        <v>1</v>
      </c>
      <c r="AP24" s="34">
        <f t="shared" si="2"/>
        <v>438</v>
      </c>
      <c r="AQ24" s="23">
        <f t="shared" si="3"/>
        <v>1</v>
      </c>
      <c r="AR24" s="35" t="s">
        <v>48</v>
      </c>
      <c r="AW24" s="63" t="str">
        <f t="shared" ca="1" si="4"/>
        <v>15:41:18</v>
      </c>
      <c r="AX24" s="10"/>
      <c r="AY24" s="160">
        <v>2</v>
      </c>
      <c r="AZ24" s="10"/>
      <c r="BA24" s="104" t="str">
        <f t="shared" si="5"/>
        <v>САВВИНО-СПАССКИЙ-Б-Р-1</v>
      </c>
      <c r="BB24" s="85">
        <f>AP24*3+10*60</f>
        <v>1914</v>
      </c>
      <c r="BD24" s="123"/>
      <c r="BE24" s="117" t="s">
        <v>1315</v>
      </c>
      <c r="BF24" s="89" t="s">
        <v>1315</v>
      </c>
      <c r="BG24" s="89" t="s">
        <v>1315</v>
      </c>
      <c r="BH24" s="89" t="s">
        <v>1315</v>
      </c>
      <c r="BI24" s="89" t="s">
        <v>1315</v>
      </c>
      <c r="BJ24" s="89" t="s">
        <v>1315</v>
      </c>
      <c r="BK24" s="89" t="s">
        <v>1315</v>
      </c>
      <c r="BL24" s="1" t="s">
        <v>623</v>
      </c>
    </row>
    <row r="25" spans="1:65" ht="15" customHeight="1" x14ac:dyDescent="0.3">
      <c r="C25" s="1">
        <v>550</v>
      </c>
      <c r="D25" s="6">
        <v>25929</v>
      </c>
      <c r="E25" s="6">
        <v>4929</v>
      </c>
      <c r="F25" s="37" t="s">
        <v>1610</v>
      </c>
      <c r="G25" s="8" t="s">
        <v>43</v>
      </c>
      <c r="H25" s="9">
        <v>32.99</v>
      </c>
      <c r="I25" s="9">
        <v>10.91</v>
      </c>
      <c r="J25" s="179" t="s">
        <v>2088</v>
      </c>
      <c r="K25" s="1" t="s">
        <v>1700</v>
      </c>
      <c r="M25" s="2" t="s">
        <v>1329</v>
      </c>
      <c r="N25" s="1">
        <v>1</v>
      </c>
      <c r="O25" s="1">
        <v>1</v>
      </c>
      <c r="P25" s="1" t="s">
        <v>236</v>
      </c>
      <c r="Q25" s="10" t="s">
        <v>616</v>
      </c>
      <c r="R25" t="s">
        <v>2334</v>
      </c>
      <c r="S25">
        <v>9908654881</v>
      </c>
      <c r="T25">
        <v>89771346704</v>
      </c>
      <c r="U25" t="s">
        <v>2323</v>
      </c>
      <c r="V25" t="s">
        <v>2335</v>
      </c>
      <c r="W25">
        <v>9947787826</v>
      </c>
      <c r="X25" t="s">
        <v>2117</v>
      </c>
      <c r="Y25" t="s">
        <v>2325</v>
      </c>
      <c r="Z25" t="s">
        <v>2326</v>
      </c>
      <c r="AA25">
        <v>8</v>
      </c>
      <c r="AB25" s="6" t="s">
        <v>1224</v>
      </c>
      <c r="AC25" s="2" t="s">
        <v>617</v>
      </c>
      <c r="AF25" s="14" t="s">
        <v>732</v>
      </c>
      <c r="AI25" s="6">
        <v>2</v>
      </c>
      <c r="AJ25" s="114" t="str">
        <f ca="1">IF((WEEKDAY(TODAY(),2))=6,"10:00","09:30")</f>
        <v>09:30</v>
      </c>
      <c r="AK25" s="142" t="str">
        <f>IF(AP25&gt;2000,"15:00",IF(AP25&lt;1000,"16:30","16:00"))</f>
        <v>16:30</v>
      </c>
      <c r="AL25" s="58" t="str">
        <f t="shared" ca="1" si="0"/>
        <v>09:30 - 16:30</v>
      </c>
      <c r="AM25" s="151">
        <v>3</v>
      </c>
      <c r="AN25" s="95">
        <f t="shared" si="1"/>
        <v>300000</v>
      </c>
      <c r="AO25" s="94" t="b">
        <v>1</v>
      </c>
      <c r="AP25" s="34">
        <f t="shared" si="2"/>
        <v>878</v>
      </c>
      <c r="AQ25" s="23">
        <f t="shared" si="3"/>
        <v>2</v>
      </c>
      <c r="AR25" s="35" t="s">
        <v>48</v>
      </c>
      <c r="AW25" s="63" t="str">
        <f t="shared" ca="1" si="4"/>
        <v>09:30</v>
      </c>
      <c r="AX25" s="10"/>
      <c r="AY25" s="160">
        <v>2</v>
      </c>
      <c r="AZ25" s="10"/>
      <c r="BA25" s="104" t="str">
        <f t="shared" si="5"/>
        <v>ЛЮБЕРЦЫ-ВЕСЕННЯЯ-12</v>
      </c>
      <c r="BB25" s="85">
        <f>AP25*3+10*60</f>
        <v>3234</v>
      </c>
      <c r="BD25" s="123"/>
      <c r="BE25" s="117" t="s">
        <v>1315</v>
      </c>
      <c r="BF25" s="89">
        <v>7.1333333333333329</v>
      </c>
      <c r="BG25" s="89" t="s">
        <v>1315</v>
      </c>
      <c r="BH25" s="89" t="s">
        <v>1315</v>
      </c>
      <c r="BI25" s="89" t="s">
        <v>1315</v>
      </c>
      <c r="BJ25" s="89" t="s">
        <v>1315</v>
      </c>
      <c r="BK25" s="89" t="s">
        <v>1315</v>
      </c>
      <c r="BL25" s="37" t="s">
        <v>615</v>
      </c>
    </row>
    <row r="26" spans="1:65" ht="15" customHeight="1" x14ac:dyDescent="0.3">
      <c r="C26" s="1">
        <v>545</v>
      </c>
      <c r="D26" s="6">
        <v>903</v>
      </c>
      <c r="E26" s="6">
        <v>4903</v>
      </c>
      <c r="F26" s="10" t="s">
        <v>1673</v>
      </c>
      <c r="G26" s="8" t="s">
        <v>43</v>
      </c>
      <c r="H26" s="9">
        <v>49.15</v>
      </c>
      <c r="I26" s="9">
        <v>12.4</v>
      </c>
      <c r="J26" s="9" t="s">
        <v>1315</v>
      </c>
      <c r="K26" s="1" t="s">
        <v>1700</v>
      </c>
      <c r="L26" s="2" t="s">
        <v>44</v>
      </c>
      <c r="M26" s="2" t="s">
        <v>1881</v>
      </c>
      <c r="N26" s="1">
        <v>1</v>
      </c>
      <c r="O26" s="1">
        <v>2</v>
      </c>
      <c r="P26" s="1" t="s">
        <v>51</v>
      </c>
      <c r="Q26" s="10" t="s">
        <v>1674</v>
      </c>
      <c r="R26" t="s">
        <v>2334</v>
      </c>
      <c r="S26">
        <v>9908654881</v>
      </c>
      <c r="T26">
        <v>89771346704</v>
      </c>
      <c r="U26" t="s">
        <v>2323</v>
      </c>
      <c r="V26" t="s">
        <v>2335</v>
      </c>
      <c r="W26">
        <v>9947787826</v>
      </c>
      <c r="X26" t="s">
        <v>2117</v>
      </c>
      <c r="Y26" t="s">
        <v>2325</v>
      </c>
      <c r="Z26" t="s">
        <v>2326</v>
      </c>
      <c r="AA26">
        <v>8</v>
      </c>
      <c r="AB26" s="6" t="s">
        <v>1186</v>
      </c>
      <c r="AC26" s="2" t="s">
        <v>1675</v>
      </c>
      <c r="AF26" s="153" t="s">
        <v>1672</v>
      </c>
      <c r="AI26" s="6">
        <v>2</v>
      </c>
      <c r="AJ26" s="114" t="str">
        <f ca="1">IF((WEEKDAY(TODAY(),2))=6,"10:00","09:00")</f>
        <v>09:00</v>
      </c>
      <c r="AK26" s="142" t="str">
        <f>IF(AP26&gt;2000,"15:00",IF(AP26&lt;1000,"16:30","16:00"))</f>
        <v>16:00</v>
      </c>
      <c r="AL26" s="58" t="str">
        <f t="shared" ca="1" si="0"/>
        <v>09:00 - 16:00</v>
      </c>
      <c r="AM26" s="151">
        <v>3</v>
      </c>
      <c r="AN26" s="95">
        <f t="shared" si="1"/>
        <v>393920</v>
      </c>
      <c r="AO26" s="94" t="b">
        <v>1</v>
      </c>
      <c r="AP26" s="34">
        <f t="shared" si="2"/>
        <v>1231</v>
      </c>
      <c r="AQ26" s="23">
        <f t="shared" si="3"/>
        <v>3</v>
      </c>
      <c r="AR26" s="35" t="s">
        <v>48</v>
      </c>
      <c r="AW26" s="63" t="str">
        <f t="shared" ca="1" si="4"/>
        <v>10:48:46</v>
      </c>
      <c r="AX26" s="10"/>
      <c r="AY26" s="160">
        <v>2</v>
      </c>
      <c r="AZ26" s="10"/>
      <c r="BA26" s="104" t="str">
        <f t="shared" si="5"/>
        <v>НОВОКОСИНСКАЯ-13К2</v>
      </c>
      <c r="BB26" s="85">
        <f>AP26*3.3+10*60</f>
        <v>4662.2999999999993</v>
      </c>
      <c r="BD26" s="123"/>
      <c r="BE26" s="117" t="s">
        <v>1315</v>
      </c>
      <c r="BF26" s="89">
        <v>-28.824666666666666</v>
      </c>
      <c r="BG26" s="89" t="s">
        <v>1315</v>
      </c>
      <c r="BH26" s="89" t="s">
        <v>1315</v>
      </c>
      <c r="BI26" s="89" t="s">
        <v>1315</v>
      </c>
      <c r="BJ26" s="89" t="s">
        <v>1315</v>
      </c>
      <c r="BK26" s="89" t="s">
        <v>1315</v>
      </c>
      <c r="BL26" s="10" t="s">
        <v>602</v>
      </c>
    </row>
    <row r="27" spans="1:65" s="125" customFormat="1" ht="15" customHeight="1" x14ac:dyDescent="0.3">
      <c r="A27" s="1"/>
      <c r="B27" s="1"/>
      <c r="C27" s="1">
        <v>542</v>
      </c>
      <c r="D27" s="6">
        <v>25790</v>
      </c>
      <c r="E27" s="6">
        <v>4790</v>
      </c>
      <c r="F27" s="1" t="s">
        <v>1604</v>
      </c>
      <c r="G27" s="8" t="s">
        <v>43</v>
      </c>
      <c r="H27" s="9">
        <v>21.63</v>
      </c>
      <c r="I27" s="9">
        <v>8.86</v>
      </c>
      <c r="J27" s="9" t="s">
        <v>1315</v>
      </c>
      <c r="K27" s="1" t="s">
        <v>1700</v>
      </c>
      <c r="L27" s="2" t="s">
        <v>44</v>
      </c>
      <c r="M27" s="2" t="s">
        <v>1882</v>
      </c>
      <c r="N27" s="1">
        <v>1</v>
      </c>
      <c r="O27" s="1">
        <v>3</v>
      </c>
      <c r="P27" s="1" t="s">
        <v>596</v>
      </c>
      <c r="Q27" s="10" t="s">
        <v>600</v>
      </c>
      <c r="R27" t="s">
        <v>2334</v>
      </c>
      <c r="S27">
        <v>9908654881</v>
      </c>
      <c r="T27">
        <v>89771346704</v>
      </c>
      <c r="U27" t="s">
        <v>2323</v>
      </c>
      <c r="V27" t="s">
        <v>2335</v>
      </c>
      <c r="W27">
        <v>9947787826</v>
      </c>
      <c r="X27" t="s">
        <v>2117</v>
      </c>
      <c r="Y27" t="s">
        <v>2325</v>
      </c>
      <c r="Z27" t="s">
        <v>2326</v>
      </c>
      <c r="AA27">
        <v>8</v>
      </c>
      <c r="AB27" s="6" t="s">
        <v>1139</v>
      </c>
      <c r="AC27" s="2" t="s">
        <v>601</v>
      </c>
      <c r="AD27" s="48"/>
      <c r="AE27" s="48"/>
      <c r="AF27" s="153" t="s">
        <v>1672</v>
      </c>
      <c r="AG27" s="5"/>
      <c r="AH27" s="5"/>
      <c r="AI27" s="6">
        <v>2</v>
      </c>
      <c r="AJ27" s="114" t="str">
        <f ca="1">IF((WEEKDAY(TODAY(),2))=6,"10:00","09:00")</f>
        <v>09:00</v>
      </c>
      <c r="AK27" s="142" t="str">
        <f>IF(AP27&gt;2000,"15:00",IF(AP27&lt;1000,"16:30","16:00"))</f>
        <v>16:30</v>
      </c>
      <c r="AL27" s="58" t="str">
        <f t="shared" ca="1" si="0"/>
        <v>09:00 - 16:30</v>
      </c>
      <c r="AM27" s="151">
        <v>3</v>
      </c>
      <c r="AN27" s="95">
        <f t="shared" si="1"/>
        <v>300000</v>
      </c>
      <c r="AO27" s="94" t="b">
        <v>1</v>
      </c>
      <c r="AP27" s="34">
        <f t="shared" si="2"/>
        <v>609.79999999999995</v>
      </c>
      <c r="AQ27" s="23">
        <f t="shared" si="3"/>
        <v>2</v>
      </c>
      <c r="AR27" s="35" t="s">
        <v>48</v>
      </c>
      <c r="AS27" s="1"/>
      <c r="AT27" s="1"/>
      <c r="AU27" s="44"/>
      <c r="AV27" s="1"/>
      <c r="AW27" s="63" t="str">
        <f t="shared" ca="1" si="4"/>
        <v>12:18:24</v>
      </c>
      <c r="AX27" s="10"/>
      <c r="AY27" s="160">
        <v>2</v>
      </c>
      <c r="AZ27" s="10"/>
      <c r="BA27" s="104" t="str">
        <f t="shared" si="5"/>
        <v>РЕУТОВ-ЧЕЛОМЕЯ-11</v>
      </c>
      <c r="BB27" s="85">
        <f>AP27*3.3+10*60</f>
        <v>2612.3399999999997</v>
      </c>
      <c r="BC27" s="110"/>
      <c r="BD27" s="123"/>
      <c r="BE27" s="117" t="s">
        <v>1315</v>
      </c>
      <c r="BF27" s="89" t="s">
        <v>1315</v>
      </c>
      <c r="BG27" s="89" t="s">
        <v>1315</v>
      </c>
      <c r="BH27" s="89" t="s">
        <v>1315</v>
      </c>
      <c r="BI27" s="89" t="s">
        <v>1315</v>
      </c>
      <c r="BJ27" s="89" t="s">
        <v>1315</v>
      </c>
      <c r="BK27" s="89">
        <v>-4.8856666666666655</v>
      </c>
      <c r="BL27" s="1" t="s">
        <v>599</v>
      </c>
      <c r="BM27" s="1"/>
    </row>
    <row r="28" spans="1:65" ht="15" customHeight="1" x14ac:dyDescent="0.3">
      <c r="C28" s="1">
        <v>532</v>
      </c>
      <c r="D28" s="6">
        <v>634</v>
      </c>
      <c r="E28" s="6">
        <v>7634</v>
      </c>
      <c r="F28" s="1" t="s">
        <v>1462</v>
      </c>
      <c r="G28" s="8" t="s">
        <v>50</v>
      </c>
      <c r="H28" s="9">
        <v>6.79</v>
      </c>
      <c r="I28" s="9">
        <v>3.13</v>
      </c>
      <c r="J28" s="9" t="s">
        <v>1315</v>
      </c>
      <c r="K28" s="1" t="s">
        <v>1700</v>
      </c>
      <c r="M28" s="2" t="s">
        <v>1880</v>
      </c>
      <c r="N28" s="1">
        <v>1</v>
      </c>
      <c r="O28" s="1">
        <v>4</v>
      </c>
      <c r="P28" s="1" t="s">
        <v>51</v>
      </c>
      <c r="Q28" s="10" t="s">
        <v>593</v>
      </c>
      <c r="R28" t="s">
        <v>2334</v>
      </c>
      <c r="S28">
        <v>9908654881</v>
      </c>
      <c r="T28">
        <v>89771346704</v>
      </c>
      <c r="U28" t="s">
        <v>2323</v>
      </c>
      <c r="V28" t="s">
        <v>2335</v>
      </c>
      <c r="W28">
        <v>9947787826</v>
      </c>
      <c r="X28" t="s">
        <v>2117</v>
      </c>
      <c r="Y28" t="s">
        <v>2325</v>
      </c>
      <c r="Z28" t="s">
        <v>2326</v>
      </c>
      <c r="AA28">
        <v>8</v>
      </c>
      <c r="AB28" s="6" t="s">
        <v>1135</v>
      </c>
      <c r="AC28" s="2" t="s">
        <v>594</v>
      </c>
      <c r="AF28" s="153" t="s">
        <v>1672</v>
      </c>
      <c r="AI28" s="6">
        <v>2</v>
      </c>
      <c r="AJ28" s="13" t="s">
        <v>1328</v>
      </c>
      <c r="AK28" s="58">
        <v>0.54166666666666696</v>
      </c>
      <c r="AL28" s="58" t="str">
        <f t="shared" si="0"/>
        <v>09:00 - 13:00</v>
      </c>
      <c r="AM28" s="151">
        <v>3</v>
      </c>
      <c r="AN28" s="95">
        <f t="shared" si="1"/>
        <v>300000</v>
      </c>
      <c r="AO28" s="94" t="b">
        <v>1</v>
      </c>
      <c r="AP28" s="34">
        <f t="shared" si="2"/>
        <v>198.4</v>
      </c>
      <c r="AQ28" s="23">
        <f t="shared" si="3"/>
        <v>1</v>
      </c>
      <c r="AR28" s="35" t="s">
        <v>48</v>
      </c>
      <c r="AW28" s="63" t="str">
        <f t="shared" si="4"/>
        <v>13:33:41</v>
      </c>
      <c r="AX28" s="10"/>
      <c r="AY28" s="160">
        <v>1</v>
      </c>
      <c r="AZ28" s="10"/>
      <c r="BA28" s="104" t="str">
        <f t="shared" si="5"/>
        <v>БУДЕННОГО-ПР-Т-30/8</v>
      </c>
      <c r="BB28" s="85">
        <f>AP28*3+10*60</f>
        <v>1195.2</v>
      </c>
      <c r="BD28" s="123"/>
      <c r="BE28" s="117" t="s">
        <v>1315</v>
      </c>
      <c r="BF28" s="89" t="s">
        <v>1315</v>
      </c>
      <c r="BG28" s="89" t="s">
        <v>1315</v>
      </c>
      <c r="BH28" s="89" t="s">
        <v>1315</v>
      </c>
      <c r="BI28" s="89" t="s">
        <v>1315</v>
      </c>
      <c r="BJ28" s="89" t="s">
        <v>1315</v>
      </c>
      <c r="BK28" s="89">
        <v>15.81333333333334</v>
      </c>
      <c r="BL28" s="1" t="s">
        <v>592</v>
      </c>
    </row>
    <row r="29" spans="1:65" ht="15" customHeight="1" x14ac:dyDescent="0.3">
      <c r="C29" s="1">
        <v>180</v>
      </c>
      <c r="D29" s="6">
        <v>945</v>
      </c>
      <c r="E29" s="6">
        <v>4945</v>
      </c>
      <c r="F29" s="17" t="s">
        <v>1439</v>
      </c>
      <c r="G29" s="8" t="s">
        <v>50</v>
      </c>
      <c r="H29" s="9">
        <v>12.969999999999999</v>
      </c>
      <c r="I29" s="9">
        <v>11.34</v>
      </c>
      <c r="J29" s="179" t="s">
        <v>2088</v>
      </c>
      <c r="K29" s="1" t="s">
        <v>1704</v>
      </c>
      <c r="M29" s="2" t="s">
        <v>1328</v>
      </c>
      <c r="N29" s="1">
        <v>1</v>
      </c>
      <c r="O29" s="1">
        <v>1</v>
      </c>
      <c r="P29" s="1" t="s">
        <v>51</v>
      </c>
      <c r="Q29" s="10" t="s">
        <v>111</v>
      </c>
      <c r="R29" t="s">
        <v>2336</v>
      </c>
      <c r="S29" t="s">
        <v>2337</v>
      </c>
      <c r="T29" t="s">
        <v>2338</v>
      </c>
      <c r="U29" t="s">
        <v>2323</v>
      </c>
      <c r="V29" t="s">
        <v>2339</v>
      </c>
      <c r="W29">
        <v>9947787533</v>
      </c>
      <c r="X29" t="s">
        <v>2117</v>
      </c>
      <c r="Y29" t="s">
        <v>2325</v>
      </c>
      <c r="Z29" t="s">
        <v>2326</v>
      </c>
      <c r="AA29">
        <v>8</v>
      </c>
      <c r="AB29" s="6" t="s">
        <v>830</v>
      </c>
      <c r="AC29" s="2" t="s">
        <v>112</v>
      </c>
      <c r="AD29" s="48" t="s">
        <v>1175</v>
      </c>
      <c r="AE29" s="48" t="s">
        <v>1176</v>
      </c>
      <c r="AF29" s="167" t="s">
        <v>1672</v>
      </c>
      <c r="AI29" s="6">
        <v>2</v>
      </c>
      <c r="AJ29" s="13" t="s">
        <v>1328</v>
      </c>
      <c r="AK29" s="58">
        <v>0.54166666666666696</v>
      </c>
      <c r="AL29" s="58" t="str">
        <f t="shared" si="0"/>
        <v>09:00 - 13:00</v>
      </c>
      <c r="AM29" s="151">
        <v>2</v>
      </c>
      <c r="AN29" s="95">
        <f t="shared" si="1"/>
        <v>300000</v>
      </c>
      <c r="AO29" s="94" t="b">
        <v>1</v>
      </c>
      <c r="AP29" s="34">
        <f t="shared" si="2"/>
        <v>486.2</v>
      </c>
      <c r="AQ29" s="23">
        <f t="shared" si="3"/>
        <v>1</v>
      </c>
      <c r="AR29" s="35" t="s">
        <v>48</v>
      </c>
      <c r="AW29" s="63" t="str">
        <f t="shared" si="4"/>
        <v>09:00</v>
      </c>
      <c r="AX29" s="173"/>
      <c r="AY29" s="160">
        <v>1</v>
      </c>
      <c r="AZ29" s="10"/>
      <c r="BA29" s="104" t="str">
        <f t="shared" si="5"/>
        <v>СМОЛЬНАЯ-44</v>
      </c>
      <c r="BB29" s="87">
        <f t="shared" ref="BB29:BB34" si="7">AP29*3.5+10*60</f>
        <v>2301.6999999999998</v>
      </c>
      <c r="BD29" s="123"/>
      <c r="BE29" s="117">
        <v>46.968333333333327</v>
      </c>
      <c r="BF29" s="89">
        <v>-0.23333333333333428</v>
      </c>
      <c r="BG29" s="89" t="s">
        <v>1315</v>
      </c>
      <c r="BH29" s="89" t="s">
        <v>1315</v>
      </c>
      <c r="BI29" s="89" t="s">
        <v>1315</v>
      </c>
      <c r="BJ29" s="89" t="s">
        <v>1315</v>
      </c>
      <c r="BK29" s="89" t="s">
        <v>1315</v>
      </c>
      <c r="BL29" s="17" t="s">
        <v>110</v>
      </c>
    </row>
    <row r="30" spans="1:65" ht="15" customHeight="1" x14ac:dyDescent="0.3">
      <c r="C30" s="1">
        <v>159</v>
      </c>
      <c r="D30" s="6">
        <v>884</v>
      </c>
      <c r="E30" s="6">
        <v>4884</v>
      </c>
      <c r="F30" s="10" t="s">
        <v>1481</v>
      </c>
      <c r="G30" s="8" t="s">
        <v>50</v>
      </c>
      <c r="H30" s="9">
        <v>9.76</v>
      </c>
      <c r="I30" s="9">
        <v>5.65</v>
      </c>
      <c r="J30" s="9" t="s">
        <v>1315</v>
      </c>
      <c r="K30" s="1" t="s">
        <v>1704</v>
      </c>
      <c r="M30" s="2" t="s">
        <v>1872</v>
      </c>
      <c r="N30" s="1">
        <v>1</v>
      </c>
      <c r="O30" s="1">
        <v>2</v>
      </c>
      <c r="P30" s="1" t="s">
        <v>51</v>
      </c>
      <c r="Q30" s="10" t="s">
        <v>343</v>
      </c>
      <c r="R30" t="s">
        <v>2336</v>
      </c>
      <c r="S30" t="s">
        <v>2337</v>
      </c>
      <c r="T30" t="s">
        <v>2338</v>
      </c>
      <c r="U30" t="s">
        <v>2323</v>
      </c>
      <c r="V30" t="s">
        <v>2339</v>
      </c>
      <c r="W30">
        <v>9947787533</v>
      </c>
      <c r="X30" t="s">
        <v>2117</v>
      </c>
      <c r="Y30" t="s">
        <v>2325</v>
      </c>
      <c r="Z30" t="s">
        <v>2326</v>
      </c>
      <c r="AA30">
        <v>8</v>
      </c>
      <c r="AB30" s="6" t="s">
        <v>820</v>
      </c>
      <c r="AC30" s="2" t="s">
        <v>344</v>
      </c>
      <c r="AF30" s="14" t="s">
        <v>732</v>
      </c>
      <c r="AI30" s="6">
        <v>2</v>
      </c>
      <c r="AJ30" s="13" t="s">
        <v>1327</v>
      </c>
      <c r="AK30" s="58">
        <v>0.45833333333333331</v>
      </c>
      <c r="AL30" s="58" t="str">
        <f t="shared" si="0"/>
        <v>08:30 - 11:00</v>
      </c>
      <c r="AM30" s="151">
        <v>2</v>
      </c>
      <c r="AN30" s="95">
        <f t="shared" si="1"/>
        <v>300000</v>
      </c>
      <c r="AO30" s="94" t="b">
        <v>1</v>
      </c>
      <c r="AP30" s="34">
        <f t="shared" si="2"/>
        <v>308.2</v>
      </c>
      <c r="AQ30" s="23">
        <f t="shared" si="3"/>
        <v>1</v>
      </c>
      <c r="AR30" s="35" t="s">
        <v>48</v>
      </c>
      <c r="AU30" s="46"/>
      <c r="AW30" s="63" t="str">
        <f t="shared" si="4"/>
        <v>10:03:40</v>
      </c>
      <c r="AX30" s="173"/>
      <c r="AY30" s="160">
        <v>1</v>
      </c>
      <c r="AZ30" s="10"/>
      <c r="BA30" s="104" t="str">
        <f t="shared" si="5"/>
        <v>ИЛЬМЕНСКИЙ-ПР-Д-14К6</v>
      </c>
      <c r="BB30" s="85">
        <f t="shared" si="7"/>
        <v>1678.7</v>
      </c>
      <c r="BD30" s="123"/>
      <c r="BE30" s="117">
        <v>0.18500000000000227</v>
      </c>
      <c r="BF30" s="89">
        <v>-6.9383333333333326</v>
      </c>
      <c r="BG30" s="89" t="s">
        <v>1315</v>
      </c>
      <c r="BH30" s="89" t="s">
        <v>1315</v>
      </c>
      <c r="BI30" s="89">
        <v>10.673333333333332</v>
      </c>
      <c r="BJ30" s="89" t="s">
        <v>1315</v>
      </c>
      <c r="BK30" s="89">
        <v>-4.8900000000000006</v>
      </c>
      <c r="BL30" s="10" t="s">
        <v>342</v>
      </c>
    </row>
    <row r="31" spans="1:65" ht="15" customHeight="1" x14ac:dyDescent="0.3">
      <c r="C31" s="1">
        <v>160</v>
      </c>
      <c r="D31" s="6">
        <v>923</v>
      </c>
      <c r="E31" s="6">
        <v>4923</v>
      </c>
      <c r="F31" s="10" t="s">
        <v>1482</v>
      </c>
      <c r="G31" s="8" t="s">
        <v>50</v>
      </c>
      <c r="H31" s="9">
        <v>24.490000000000002</v>
      </c>
      <c r="I31" s="9">
        <v>7.55</v>
      </c>
      <c r="J31" s="9" t="s">
        <v>1315</v>
      </c>
      <c r="K31" s="1" t="s">
        <v>1704</v>
      </c>
      <c r="M31" s="2" t="s">
        <v>1854</v>
      </c>
      <c r="N31" s="1">
        <v>1</v>
      </c>
      <c r="O31" s="1">
        <v>3</v>
      </c>
      <c r="P31" s="1" t="s">
        <v>51</v>
      </c>
      <c r="Q31" s="10" t="s">
        <v>107</v>
      </c>
      <c r="R31" t="s">
        <v>2336</v>
      </c>
      <c r="S31" t="s">
        <v>2337</v>
      </c>
      <c r="T31" t="s">
        <v>2338</v>
      </c>
      <c r="U31" t="s">
        <v>2323</v>
      </c>
      <c r="V31" t="s">
        <v>2339</v>
      </c>
      <c r="W31">
        <v>9947787533</v>
      </c>
      <c r="X31" t="s">
        <v>2117</v>
      </c>
      <c r="Y31" t="s">
        <v>2325</v>
      </c>
      <c r="Z31" t="s">
        <v>2326</v>
      </c>
      <c r="AA31">
        <v>8</v>
      </c>
      <c r="AB31" s="6" t="s">
        <v>821</v>
      </c>
      <c r="AC31" s="2" t="s">
        <v>108</v>
      </c>
      <c r="AF31" s="153" t="s">
        <v>1672</v>
      </c>
      <c r="AI31" s="6">
        <v>2</v>
      </c>
      <c r="AJ31" s="13" t="s">
        <v>1329</v>
      </c>
      <c r="AK31" s="142" t="str">
        <f>IF(AP31&gt;2000,"15:00",IF(AP31&lt;1000,"16:30","16:00"))</f>
        <v>16:30</v>
      </c>
      <c r="AL31" s="58" t="str">
        <f t="shared" si="0"/>
        <v>09:30 - 16:30</v>
      </c>
      <c r="AM31" s="151">
        <v>2</v>
      </c>
      <c r="AN31" s="95">
        <f t="shared" si="1"/>
        <v>300000</v>
      </c>
      <c r="AO31" s="94" t="b">
        <v>1</v>
      </c>
      <c r="AP31" s="34">
        <f t="shared" si="2"/>
        <v>640.80000000000007</v>
      </c>
      <c r="AQ31" s="23">
        <f t="shared" si="3"/>
        <v>2</v>
      </c>
      <c r="AR31" s="35" t="s">
        <v>48</v>
      </c>
      <c r="AU31" s="46"/>
      <c r="AW31" s="63" t="str">
        <f t="shared" si="4"/>
        <v>10:33:30</v>
      </c>
      <c r="AX31" s="173"/>
      <c r="AY31" s="160">
        <v>2</v>
      </c>
      <c r="AZ31" s="10"/>
      <c r="BA31" s="104" t="str">
        <f t="shared" si="5"/>
        <v>ДЕГУНИНСКАЯ-3К2</v>
      </c>
      <c r="BB31" s="87">
        <f t="shared" si="7"/>
        <v>2842.8</v>
      </c>
      <c r="BD31" s="123"/>
      <c r="BE31" s="117">
        <v>-24.343333333333334</v>
      </c>
      <c r="BF31" s="89" t="s">
        <v>1315</v>
      </c>
      <c r="BG31" s="89">
        <v>-18.851666666666674</v>
      </c>
      <c r="BH31" s="89" t="s">
        <v>1315</v>
      </c>
      <c r="BI31" s="89" t="s">
        <v>1315</v>
      </c>
      <c r="BJ31" s="89" t="s">
        <v>1315</v>
      </c>
      <c r="BK31" s="89" t="s">
        <v>1315</v>
      </c>
      <c r="BL31" s="10" t="s">
        <v>106</v>
      </c>
    </row>
    <row r="32" spans="1:65" ht="15" customHeight="1" x14ac:dyDescent="0.3">
      <c r="C32" s="1">
        <v>157</v>
      </c>
      <c r="D32" s="6">
        <v>7012</v>
      </c>
      <c r="E32" s="6">
        <v>4012</v>
      </c>
      <c r="F32" s="36" t="s">
        <v>1480</v>
      </c>
      <c r="G32" s="8" t="s">
        <v>50</v>
      </c>
      <c r="H32" s="9">
        <v>5.9399999999999995</v>
      </c>
      <c r="I32" s="9">
        <v>1.77</v>
      </c>
      <c r="J32" s="9" t="s">
        <v>1315</v>
      </c>
      <c r="K32" s="1" t="s">
        <v>1704</v>
      </c>
      <c r="M32" s="2" t="s">
        <v>1855</v>
      </c>
      <c r="N32" s="1">
        <v>1</v>
      </c>
      <c r="O32" s="1">
        <v>4</v>
      </c>
      <c r="P32" s="1" t="s">
        <v>51</v>
      </c>
      <c r="Q32" s="10" t="s">
        <v>340</v>
      </c>
      <c r="R32" t="s">
        <v>2336</v>
      </c>
      <c r="S32" t="s">
        <v>2337</v>
      </c>
      <c r="T32" t="s">
        <v>2338</v>
      </c>
      <c r="U32" t="s">
        <v>2323</v>
      </c>
      <c r="V32" t="s">
        <v>2339</v>
      </c>
      <c r="W32">
        <v>9947787533</v>
      </c>
      <c r="X32" t="s">
        <v>2117</v>
      </c>
      <c r="Y32" t="s">
        <v>2325</v>
      </c>
      <c r="Z32" t="s">
        <v>2326</v>
      </c>
      <c r="AA32">
        <v>8</v>
      </c>
      <c r="AB32" s="6" t="s">
        <v>819</v>
      </c>
      <c r="AC32" s="2" t="s">
        <v>341</v>
      </c>
      <c r="AF32" s="153" t="s">
        <v>1672</v>
      </c>
      <c r="AI32" s="6">
        <v>2</v>
      </c>
      <c r="AJ32" s="13" t="s">
        <v>1329</v>
      </c>
      <c r="AK32" s="162">
        <v>0.75</v>
      </c>
      <c r="AL32" s="58" t="str">
        <f t="shared" si="0"/>
        <v>09:30 - 18:00</v>
      </c>
      <c r="AM32" s="151">
        <v>2</v>
      </c>
      <c r="AN32" s="95">
        <f t="shared" si="1"/>
        <v>300000</v>
      </c>
      <c r="AO32" s="94" t="b">
        <v>1</v>
      </c>
      <c r="AP32" s="34">
        <f t="shared" si="2"/>
        <v>154.19999999999999</v>
      </c>
      <c r="AQ32" s="23">
        <f t="shared" si="3"/>
        <v>1</v>
      </c>
      <c r="AR32" s="35" t="s">
        <v>48</v>
      </c>
      <c r="AU32" s="46"/>
      <c r="AW32" s="63" t="str">
        <f t="shared" si="4"/>
        <v>11:26:37</v>
      </c>
      <c r="AX32" s="173"/>
      <c r="AY32" s="160">
        <v>3</v>
      </c>
      <c r="AZ32" s="10"/>
      <c r="BA32" s="104" t="str">
        <f t="shared" si="5"/>
        <v>КОВИНСКОЕ-Ш-1К1</v>
      </c>
      <c r="BB32" s="87">
        <f t="shared" si="7"/>
        <v>1139.6999999999998</v>
      </c>
      <c r="BD32" s="123"/>
      <c r="BE32" s="117" t="s">
        <v>1315</v>
      </c>
      <c r="BF32" s="89" t="s">
        <v>1315</v>
      </c>
      <c r="BG32" s="89" t="s">
        <v>1315</v>
      </c>
      <c r="BH32" s="89" t="s">
        <v>1315</v>
      </c>
      <c r="BI32" s="89" t="s">
        <v>1315</v>
      </c>
      <c r="BJ32" s="89" t="s">
        <v>1315</v>
      </c>
      <c r="BK32" s="89" t="s">
        <v>1315</v>
      </c>
      <c r="BL32" s="36" t="s">
        <v>339</v>
      </c>
    </row>
    <row r="33" spans="1:65" ht="15" customHeight="1" x14ac:dyDescent="0.3">
      <c r="C33" s="1">
        <v>154</v>
      </c>
      <c r="D33" s="6">
        <v>880</v>
      </c>
      <c r="E33" s="6">
        <v>4880</v>
      </c>
      <c r="F33" s="10" t="s">
        <v>1479</v>
      </c>
      <c r="G33" s="8" t="s">
        <v>50</v>
      </c>
      <c r="H33" s="9">
        <v>7.22</v>
      </c>
      <c r="I33" s="9">
        <v>3.38</v>
      </c>
      <c r="J33" s="9" t="s">
        <v>1315</v>
      </c>
      <c r="K33" s="1" t="s">
        <v>1704</v>
      </c>
      <c r="M33" s="2" t="s">
        <v>1868</v>
      </c>
      <c r="N33" s="1">
        <v>1</v>
      </c>
      <c r="O33" s="1">
        <v>5</v>
      </c>
      <c r="P33" s="1" t="s">
        <v>51</v>
      </c>
      <c r="Q33" s="10" t="s">
        <v>337</v>
      </c>
      <c r="R33" t="s">
        <v>2336</v>
      </c>
      <c r="S33" t="s">
        <v>2337</v>
      </c>
      <c r="T33" t="s">
        <v>2338</v>
      </c>
      <c r="U33" t="s">
        <v>2323</v>
      </c>
      <c r="V33" t="s">
        <v>2339</v>
      </c>
      <c r="W33">
        <v>9947787533</v>
      </c>
      <c r="X33" t="s">
        <v>2117</v>
      </c>
      <c r="Y33" t="s">
        <v>2325</v>
      </c>
      <c r="Z33" t="s">
        <v>2326</v>
      </c>
      <c r="AA33">
        <v>8</v>
      </c>
      <c r="AB33" s="6" t="s">
        <v>818</v>
      </c>
      <c r="AC33" s="2" t="s">
        <v>338</v>
      </c>
      <c r="AF33" s="14" t="s">
        <v>732</v>
      </c>
      <c r="AI33" s="6">
        <v>2</v>
      </c>
      <c r="AJ33" s="13" t="s">
        <v>1329</v>
      </c>
      <c r="AK33" s="58">
        <v>0.5</v>
      </c>
      <c r="AL33" s="58" t="str">
        <f t="shared" si="0"/>
        <v>09:30 - 12:00</v>
      </c>
      <c r="AM33" s="151">
        <v>2</v>
      </c>
      <c r="AN33" s="95">
        <f t="shared" si="1"/>
        <v>300000</v>
      </c>
      <c r="AO33" s="94" t="b">
        <v>1</v>
      </c>
      <c r="AP33" s="34">
        <f t="shared" si="2"/>
        <v>212</v>
      </c>
      <c r="AQ33" s="23">
        <f t="shared" si="3"/>
        <v>1</v>
      </c>
      <c r="AR33" s="35" t="s">
        <v>48</v>
      </c>
      <c r="AU33" s="46"/>
      <c r="AW33" s="63" t="str">
        <f t="shared" si="4"/>
        <v>11:57:08</v>
      </c>
      <c r="AX33" s="173"/>
      <c r="AY33" s="160">
        <v>2</v>
      </c>
      <c r="AZ33" s="10"/>
      <c r="BA33" s="104" t="str">
        <f t="shared" si="5"/>
        <v>ДМИТРОВСКОЕ-Ш-107аК5</v>
      </c>
      <c r="BB33" s="87">
        <f t="shared" si="7"/>
        <v>1342</v>
      </c>
      <c r="BD33" s="123"/>
      <c r="BE33" s="117" t="s">
        <v>1315</v>
      </c>
      <c r="BF33" s="89">
        <v>10.966666666666669</v>
      </c>
      <c r="BG33" s="89" t="s">
        <v>1315</v>
      </c>
      <c r="BH33" s="89" t="s">
        <v>1315</v>
      </c>
      <c r="BI33" s="89">
        <v>-9.9716666666666711</v>
      </c>
      <c r="BJ33" s="89" t="s">
        <v>1315</v>
      </c>
      <c r="BK33" s="89">
        <v>8.0949999999999847</v>
      </c>
      <c r="BL33" s="10" t="s">
        <v>336</v>
      </c>
    </row>
    <row r="34" spans="1:65" ht="15" customHeight="1" x14ac:dyDescent="0.3">
      <c r="C34" s="1">
        <v>308</v>
      </c>
      <c r="D34" s="6">
        <v>862</v>
      </c>
      <c r="E34" s="6">
        <v>4862</v>
      </c>
      <c r="F34" s="10" t="s">
        <v>1445</v>
      </c>
      <c r="G34" s="8" t="s">
        <v>43</v>
      </c>
      <c r="H34" s="9">
        <v>41.35</v>
      </c>
      <c r="I34" s="9">
        <v>12.08</v>
      </c>
      <c r="J34" s="9" t="s">
        <v>1315</v>
      </c>
      <c r="K34" s="1" t="s">
        <v>1704</v>
      </c>
      <c r="M34" s="2" t="s">
        <v>1858</v>
      </c>
      <c r="N34" s="1">
        <v>1</v>
      </c>
      <c r="O34" s="1">
        <v>6</v>
      </c>
      <c r="P34" s="1" t="s">
        <v>51</v>
      </c>
      <c r="Q34" s="10" t="s">
        <v>147</v>
      </c>
      <c r="R34" t="s">
        <v>2336</v>
      </c>
      <c r="S34" t="s">
        <v>2337</v>
      </c>
      <c r="T34" t="s">
        <v>2338</v>
      </c>
      <c r="U34" t="s">
        <v>2323</v>
      </c>
      <c r="V34" t="s">
        <v>2339</v>
      </c>
      <c r="W34">
        <v>9947787533</v>
      </c>
      <c r="X34" t="s">
        <v>2117</v>
      </c>
      <c r="Y34" t="s">
        <v>2325</v>
      </c>
      <c r="Z34" t="s">
        <v>2326</v>
      </c>
      <c r="AA34">
        <v>8</v>
      </c>
      <c r="AB34" s="6" t="s">
        <v>884</v>
      </c>
      <c r="AC34" s="2" t="s">
        <v>148</v>
      </c>
      <c r="AF34" s="14" t="s">
        <v>732</v>
      </c>
      <c r="AI34" s="6">
        <v>2</v>
      </c>
      <c r="AJ34" s="114" t="str">
        <f ca="1">IF((WEEKDAY(TODAY(),2))=6,"10:00","09:00")</f>
        <v>09:00</v>
      </c>
      <c r="AK34" s="162">
        <v>0.75</v>
      </c>
      <c r="AL34" s="58" t="str">
        <f t="shared" ca="1" si="0"/>
        <v>09:00 - 18:00</v>
      </c>
      <c r="AM34" s="151">
        <v>2</v>
      </c>
      <c r="AN34" s="95">
        <f t="shared" si="1"/>
        <v>341952</v>
      </c>
      <c r="AO34" s="94" t="b">
        <v>1</v>
      </c>
      <c r="AP34" s="34">
        <f t="shared" si="2"/>
        <v>1068.5999999999999</v>
      </c>
      <c r="AQ34" s="23">
        <f t="shared" si="3"/>
        <v>2</v>
      </c>
      <c r="AR34" s="35" t="s">
        <v>48</v>
      </c>
      <c r="AW34" s="63" t="str">
        <f t="shared" ca="1" si="4"/>
        <v>12:41:19</v>
      </c>
      <c r="AX34" s="173"/>
      <c r="AY34" s="160">
        <v>3</v>
      </c>
      <c r="AZ34" s="10"/>
      <c r="BA34" s="104" t="str">
        <f t="shared" si="5"/>
        <v>ДОЛГОПРУДНАЯ-АЛЛЕЯ-14/2</v>
      </c>
      <c r="BB34" s="87">
        <f t="shared" si="7"/>
        <v>4340.0999999999995</v>
      </c>
      <c r="BD34" s="123"/>
      <c r="BE34" s="117" t="s">
        <v>1315</v>
      </c>
      <c r="BF34" s="89">
        <v>-0.76166666666665606</v>
      </c>
      <c r="BG34" s="89" t="s">
        <v>1315</v>
      </c>
      <c r="BH34" s="89" t="s">
        <v>1315</v>
      </c>
      <c r="BI34" s="89">
        <v>-14.238333333333337</v>
      </c>
      <c r="BJ34" s="89" t="s">
        <v>1315</v>
      </c>
      <c r="BK34" s="89" t="s">
        <v>1315</v>
      </c>
      <c r="BL34" s="10" t="s">
        <v>146</v>
      </c>
    </row>
    <row r="35" spans="1:65" s="125" customFormat="1" ht="15" customHeight="1" x14ac:dyDescent="0.3">
      <c r="A35" s="1"/>
      <c r="B35" s="1"/>
      <c r="C35" s="1">
        <v>288</v>
      </c>
      <c r="D35" s="6">
        <v>7090</v>
      </c>
      <c r="E35" s="6">
        <v>4090</v>
      </c>
      <c r="F35" s="37" t="s">
        <v>1523</v>
      </c>
      <c r="G35" s="8" t="s">
        <v>50</v>
      </c>
      <c r="H35" s="9">
        <v>21.82</v>
      </c>
      <c r="I35" s="9">
        <v>9.94</v>
      </c>
      <c r="J35" s="179" t="s">
        <v>2088</v>
      </c>
      <c r="K35" s="1" t="s">
        <v>1707</v>
      </c>
      <c r="L35" s="2"/>
      <c r="M35" s="2" t="s">
        <v>1328</v>
      </c>
      <c r="N35" s="1">
        <v>1</v>
      </c>
      <c r="O35" s="1">
        <v>1</v>
      </c>
      <c r="P35" s="1" t="s">
        <v>51</v>
      </c>
      <c r="Q35" s="10" t="s">
        <v>417</v>
      </c>
      <c r="R35" t="s">
        <v>2340</v>
      </c>
      <c r="S35">
        <v>3228503509</v>
      </c>
      <c r="T35">
        <v>89263455020</v>
      </c>
      <c r="U35" t="s">
        <v>2323</v>
      </c>
      <c r="V35" t="s">
        <v>2341</v>
      </c>
      <c r="W35">
        <v>9943536090</v>
      </c>
      <c r="X35" t="s">
        <v>2117</v>
      </c>
      <c r="Y35" t="s">
        <v>2325</v>
      </c>
      <c r="Z35" t="s">
        <v>2326</v>
      </c>
      <c r="AA35">
        <v>8</v>
      </c>
      <c r="AB35" s="6" t="s">
        <v>878</v>
      </c>
      <c r="AC35" s="2" t="s">
        <v>418</v>
      </c>
      <c r="AD35" s="48"/>
      <c r="AE35" s="48"/>
      <c r="AF35" s="167" t="s">
        <v>1672</v>
      </c>
      <c r="AG35" s="5"/>
      <c r="AH35" s="5"/>
      <c r="AI35" s="6">
        <v>1</v>
      </c>
      <c r="AJ35" s="13" t="s">
        <v>1328</v>
      </c>
      <c r="AK35" s="58">
        <v>0.4375</v>
      </c>
      <c r="AL35" s="58" t="str">
        <f t="shared" si="0"/>
        <v>09:00 - 10:30</v>
      </c>
      <c r="AM35" s="151">
        <v>2</v>
      </c>
      <c r="AN35" s="95">
        <f t="shared" si="1"/>
        <v>300000</v>
      </c>
      <c r="AO35" s="94" t="b">
        <v>1</v>
      </c>
      <c r="AP35" s="34">
        <f t="shared" si="2"/>
        <v>635.19999999999993</v>
      </c>
      <c r="AQ35" s="23">
        <f t="shared" si="3"/>
        <v>2</v>
      </c>
      <c r="AR35" s="35" t="s">
        <v>48</v>
      </c>
      <c r="AS35" s="1"/>
      <c r="AT35" s="1"/>
      <c r="AU35" s="44"/>
      <c r="AV35" s="1"/>
      <c r="AW35" s="63" t="str">
        <f t="shared" si="4"/>
        <v>09:00</v>
      </c>
      <c r="AX35" s="173"/>
      <c r="AY35" s="160">
        <v>1</v>
      </c>
      <c r="AZ35" s="10"/>
      <c r="BA35" s="104" t="str">
        <f t="shared" si="5"/>
        <v>ЕНИСЕЙСКАЯ-17К1</v>
      </c>
      <c r="BB35" s="85">
        <f>AP35*2.8+10*60</f>
        <v>2378.5599999999995</v>
      </c>
      <c r="BC35" s="110"/>
      <c r="BD35" s="123"/>
      <c r="BE35" s="117">
        <v>-0.77466666666665418</v>
      </c>
      <c r="BF35" s="89">
        <v>-10.438000000000002</v>
      </c>
      <c r="BG35" s="89" t="s">
        <v>1315</v>
      </c>
      <c r="BH35" s="89" t="s">
        <v>1315</v>
      </c>
      <c r="BI35" s="89">
        <v>-0.33133333333333326</v>
      </c>
      <c r="BJ35" s="89" t="s">
        <v>1315</v>
      </c>
      <c r="BK35" s="89" t="s">
        <v>1315</v>
      </c>
      <c r="BL35" s="37" t="s">
        <v>987</v>
      </c>
      <c r="BM35" s="69"/>
    </row>
    <row r="36" spans="1:65" ht="15" customHeight="1" x14ac:dyDescent="0.3">
      <c r="C36" s="1">
        <v>294</v>
      </c>
      <c r="D36" s="6">
        <v>744</v>
      </c>
      <c r="E36" s="6">
        <v>4744</v>
      </c>
      <c r="F36" s="1" t="s">
        <v>1412</v>
      </c>
      <c r="G36" s="8" t="s">
        <v>50</v>
      </c>
      <c r="H36" s="9">
        <v>12.89</v>
      </c>
      <c r="I36" s="9">
        <v>5.13</v>
      </c>
      <c r="J36" s="9" t="s">
        <v>1315</v>
      </c>
      <c r="K36" s="1" t="s">
        <v>1707</v>
      </c>
      <c r="M36" s="2" t="s">
        <v>1859</v>
      </c>
      <c r="N36" s="1">
        <v>1</v>
      </c>
      <c r="O36" s="1">
        <v>2</v>
      </c>
      <c r="P36" s="1" t="s">
        <v>51</v>
      </c>
      <c r="Q36" s="10" t="s">
        <v>144</v>
      </c>
      <c r="R36" t="s">
        <v>2340</v>
      </c>
      <c r="S36">
        <v>3228503509</v>
      </c>
      <c r="T36">
        <v>89263455020</v>
      </c>
      <c r="U36" t="s">
        <v>2323</v>
      </c>
      <c r="V36" t="s">
        <v>2341</v>
      </c>
      <c r="W36">
        <v>9943536090</v>
      </c>
      <c r="X36" t="s">
        <v>2117</v>
      </c>
      <c r="Y36" t="s">
        <v>2325</v>
      </c>
      <c r="Z36" t="s">
        <v>2326</v>
      </c>
      <c r="AA36">
        <v>8</v>
      </c>
      <c r="AB36" s="6" t="s">
        <v>879</v>
      </c>
      <c r="AC36" s="2" t="s">
        <v>145</v>
      </c>
      <c r="AF36" s="156" t="s">
        <v>1681</v>
      </c>
      <c r="AI36" s="6">
        <v>2</v>
      </c>
      <c r="AJ36" s="13" t="s">
        <v>1328</v>
      </c>
      <c r="AK36" s="58">
        <v>0.54166666666666696</v>
      </c>
      <c r="AL36" s="58" t="str">
        <f t="shared" si="0"/>
        <v>09:00 - 13:00</v>
      </c>
      <c r="AM36" s="151">
        <v>2</v>
      </c>
      <c r="AN36" s="95">
        <f t="shared" si="1"/>
        <v>300000</v>
      </c>
      <c r="AO36" s="94" t="b">
        <v>1</v>
      </c>
      <c r="AP36" s="34">
        <f t="shared" si="2"/>
        <v>360.4</v>
      </c>
      <c r="AQ36" s="23">
        <f t="shared" si="3"/>
        <v>1</v>
      </c>
      <c r="AR36" s="35" t="s">
        <v>48</v>
      </c>
      <c r="AW36" s="63" t="str">
        <f t="shared" si="4"/>
        <v>09:54:28</v>
      </c>
      <c r="AX36" s="173"/>
      <c r="AY36" s="160">
        <v>1</v>
      </c>
      <c r="AZ36" s="10"/>
      <c r="BA36" s="104" t="str">
        <f t="shared" si="5"/>
        <v>ГРЕКОВА-22</v>
      </c>
      <c r="BB36" s="85">
        <f>AP36*3+10*60</f>
        <v>1681.1999999999998</v>
      </c>
      <c r="BD36" s="123"/>
      <c r="BE36" s="117">
        <v>-26.696666666666669</v>
      </c>
      <c r="BF36" s="89" t="s">
        <v>1315</v>
      </c>
      <c r="BG36" s="89" t="s">
        <v>1315</v>
      </c>
      <c r="BH36" s="89" t="s">
        <v>1315</v>
      </c>
      <c r="BI36" s="89">
        <v>18.090000000000003</v>
      </c>
      <c r="BJ36" s="89" t="s">
        <v>1315</v>
      </c>
      <c r="BK36" s="89">
        <v>-1.7933333333333294</v>
      </c>
      <c r="BL36" s="1" t="s">
        <v>143</v>
      </c>
    </row>
    <row r="37" spans="1:65" ht="15" customHeight="1" x14ac:dyDescent="0.3">
      <c r="C37" s="1">
        <v>338</v>
      </c>
      <c r="D37" s="6">
        <v>25891</v>
      </c>
      <c r="E37" s="6">
        <v>4891</v>
      </c>
      <c r="F37" s="10" t="s">
        <v>1538</v>
      </c>
      <c r="G37" s="8" t="s">
        <v>43</v>
      </c>
      <c r="H37" s="9">
        <v>19.5</v>
      </c>
      <c r="I37" s="9">
        <v>15.51</v>
      </c>
      <c r="J37" s="9" t="s">
        <v>1315</v>
      </c>
      <c r="K37" s="1" t="s">
        <v>1707</v>
      </c>
      <c r="M37" s="2" t="s">
        <v>1865</v>
      </c>
      <c r="N37" s="1">
        <v>1</v>
      </c>
      <c r="O37" s="1">
        <v>3</v>
      </c>
      <c r="P37" s="1" t="s">
        <v>442</v>
      </c>
      <c r="Q37" s="1" t="s">
        <v>449</v>
      </c>
      <c r="R37" t="s">
        <v>2340</v>
      </c>
      <c r="S37">
        <v>3228503509</v>
      </c>
      <c r="T37">
        <v>89263455020</v>
      </c>
      <c r="U37" t="s">
        <v>2323</v>
      </c>
      <c r="V37" t="s">
        <v>2341</v>
      </c>
      <c r="W37">
        <v>9943536090</v>
      </c>
      <c r="X37" t="s">
        <v>2117</v>
      </c>
      <c r="Y37" t="s">
        <v>2325</v>
      </c>
      <c r="Z37" t="s">
        <v>2326</v>
      </c>
      <c r="AA37">
        <v>8</v>
      </c>
      <c r="AB37" s="6" t="s">
        <v>897</v>
      </c>
      <c r="AC37" s="2" t="s">
        <v>450</v>
      </c>
      <c r="AF37" s="156" t="s">
        <v>1681</v>
      </c>
      <c r="AI37" s="6">
        <v>2</v>
      </c>
      <c r="AJ37" s="114" t="str">
        <f ca="1">IF((WEEKDAY(TODAY(),2))=6,"10:00","09:30")</f>
        <v>09:30</v>
      </c>
      <c r="AK37" s="162">
        <v>0.5</v>
      </c>
      <c r="AL37" s="58" t="str">
        <f t="shared" ca="1" si="0"/>
        <v>09:30 - 12:00</v>
      </c>
      <c r="AM37" s="151">
        <v>2</v>
      </c>
      <c r="AN37" s="95">
        <f t="shared" si="1"/>
        <v>300000</v>
      </c>
      <c r="AO37" s="94" t="b">
        <v>1</v>
      </c>
      <c r="AP37" s="34">
        <f t="shared" si="2"/>
        <v>700.2</v>
      </c>
      <c r="AQ37" s="23">
        <f t="shared" si="3"/>
        <v>2</v>
      </c>
      <c r="AR37" s="35" t="s">
        <v>48</v>
      </c>
      <c r="AW37" s="63" t="str">
        <f t="shared" ca="1" si="4"/>
        <v>10:41:02</v>
      </c>
      <c r="AX37" s="173"/>
      <c r="AY37" s="160">
        <v>3</v>
      </c>
      <c r="AZ37" s="10"/>
      <c r="BA37" s="104" t="str">
        <f t="shared" si="5"/>
        <v>МЫТИЩИ-МИРА-37</v>
      </c>
      <c r="BB37" s="85">
        <f>AP37*3.4+10*60</f>
        <v>2980.6800000000003</v>
      </c>
      <c r="BD37" s="123"/>
      <c r="BE37" s="117" t="s">
        <v>1315</v>
      </c>
      <c r="BF37" s="89" t="s">
        <v>1315</v>
      </c>
      <c r="BG37" s="89">
        <v>-15.327333333333328</v>
      </c>
      <c r="BH37" s="89" t="s">
        <v>1315</v>
      </c>
      <c r="BI37" s="89" t="s">
        <v>1315</v>
      </c>
      <c r="BJ37" s="89" t="s">
        <v>1315</v>
      </c>
      <c r="BK37" s="89" t="s">
        <v>1315</v>
      </c>
      <c r="BL37" s="10" t="s">
        <v>448</v>
      </c>
    </row>
    <row r="38" spans="1:65" ht="15" customHeight="1" x14ac:dyDescent="0.3">
      <c r="C38" s="1">
        <v>339</v>
      </c>
      <c r="D38" s="6">
        <v>25998</v>
      </c>
      <c r="E38" s="6">
        <v>4998</v>
      </c>
      <c r="F38" s="10" t="s">
        <v>1539</v>
      </c>
      <c r="G38" s="8" t="s">
        <v>43</v>
      </c>
      <c r="H38" s="9">
        <v>16.190000000000001</v>
      </c>
      <c r="I38" s="9">
        <v>9</v>
      </c>
      <c r="J38" s="9" t="s">
        <v>1315</v>
      </c>
      <c r="K38" s="1" t="s">
        <v>1707</v>
      </c>
      <c r="L38" s="2">
        <v>2</v>
      </c>
      <c r="M38" s="2" t="s">
        <v>1867</v>
      </c>
      <c r="N38" s="1">
        <v>1</v>
      </c>
      <c r="O38" s="1">
        <v>4</v>
      </c>
      <c r="P38" s="1" t="s">
        <v>442</v>
      </c>
      <c r="Q38" s="1" t="s">
        <v>452</v>
      </c>
      <c r="R38" t="s">
        <v>2340</v>
      </c>
      <c r="S38">
        <v>3228503509</v>
      </c>
      <c r="T38">
        <v>89263455020</v>
      </c>
      <c r="U38" t="s">
        <v>2323</v>
      </c>
      <c r="V38" t="s">
        <v>2341</v>
      </c>
      <c r="W38">
        <v>9943536090</v>
      </c>
      <c r="X38" t="s">
        <v>2117</v>
      </c>
      <c r="Y38" t="s">
        <v>2325</v>
      </c>
      <c r="Z38" t="s">
        <v>2326</v>
      </c>
      <c r="AA38">
        <v>8</v>
      </c>
      <c r="AB38" s="6" t="s">
        <v>898</v>
      </c>
      <c r="AC38" s="1" t="s">
        <v>453</v>
      </c>
      <c r="AF38" s="15" t="s">
        <v>1677</v>
      </c>
      <c r="AH38" s="24"/>
      <c r="AI38" s="6">
        <v>2</v>
      </c>
      <c r="AJ38" s="114" t="str">
        <f ca="1">IF((WEEKDAY(TODAY(),2))=6,"10:00","09:30")</f>
        <v>09:30</v>
      </c>
      <c r="AK38" s="162">
        <v>0.58333333333333337</v>
      </c>
      <c r="AL38" s="58" t="str">
        <f t="shared" ca="1" si="0"/>
        <v>09:30 - 14:00</v>
      </c>
      <c r="AM38" s="151">
        <v>2</v>
      </c>
      <c r="AN38" s="95">
        <f t="shared" si="1"/>
        <v>300000</v>
      </c>
      <c r="AO38" s="94" t="b">
        <v>1</v>
      </c>
      <c r="AP38" s="34">
        <f t="shared" si="2"/>
        <v>503.8</v>
      </c>
      <c r="AQ38" s="23">
        <f t="shared" si="3"/>
        <v>1</v>
      </c>
      <c r="AR38" s="35" t="s">
        <v>48</v>
      </c>
      <c r="AW38" s="63" t="str">
        <f t="shared" ca="1" si="4"/>
        <v>11:43:09</v>
      </c>
      <c r="AX38" s="173"/>
      <c r="AY38" s="160">
        <v>3</v>
      </c>
      <c r="AZ38" s="10"/>
      <c r="BA38" s="104" t="str">
        <f t="shared" si="5"/>
        <v>МЫТИЩИ-ЛЕТНАЯ-21/2</v>
      </c>
      <c r="BB38" s="87">
        <f>AP38*3.5+10*60</f>
        <v>2363.3000000000002</v>
      </c>
      <c r="BD38" s="123"/>
      <c r="BE38" s="117" t="s">
        <v>1315</v>
      </c>
      <c r="BF38" s="89" t="s">
        <v>1315</v>
      </c>
      <c r="BG38" s="89" t="s">
        <v>1315</v>
      </c>
      <c r="BH38" s="89">
        <v>-13.908333333333346</v>
      </c>
      <c r="BI38" s="89" t="s">
        <v>1315</v>
      </c>
      <c r="BJ38" s="89">
        <v>46.458333333333336</v>
      </c>
      <c r="BK38" s="89" t="s">
        <v>1315</v>
      </c>
      <c r="BL38" s="10" t="s">
        <v>451</v>
      </c>
      <c r="BM38" s="69"/>
    </row>
    <row r="39" spans="1:65" ht="15" customHeight="1" x14ac:dyDescent="0.3">
      <c r="C39" s="1">
        <v>340</v>
      </c>
      <c r="D39" s="6">
        <v>25992</v>
      </c>
      <c r="E39" s="6">
        <v>4992</v>
      </c>
      <c r="F39" s="10" t="s">
        <v>1540</v>
      </c>
      <c r="G39" s="8" t="s">
        <v>43</v>
      </c>
      <c r="H39" s="9">
        <v>24.380000000000003</v>
      </c>
      <c r="I39" s="9">
        <v>12.63</v>
      </c>
      <c r="J39" s="9" t="s">
        <v>1315</v>
      </c>
      <c r="K39" s="1" t="s">
        <v>1707</v>
      </c>
      <c r="M39" s="2" t="s">
        <v>1866</v>
      </c>
      <c r="N39" s="1">
        <v>1</v>
      </c>
      <c r="O39" s="1">
        <v>5</v>
      </c>
      <c r="P39" s="1" t="s">
        <v>442</v>
      </c>
      <c r="Q39" s="1" t="s">
        <v>455</v>
      </c>
      <c r="R39" t="s">
        <v>2340</v>
      </c>
      <c r="S39">
        <v>3228503509</v>
      </c>
      <c r="T39">
        <v>89263455020</v>
      </c>
      <c r="U39" t="s">
        <v>2323</v>
      </c>
      <c r="V39" t="s">
        <v>2341</v>
      </c>
      <c r="W39">
        <v>9943536090</v>
      </c>
      <c r="X39" t="s">
        <v>2117</v>
      </c>
      <c r="Y39" t="s">
        <v>2325</v>
      </c>
      <c r="Z39" t="s">
        <v>2326</v>
      </c>
      <c r="AA39">
        <v>8</v>
      </c>
      <c r="AB39" s="6" t="s">
        <v>899</v>
      </c>
      <c r="AC39" s="2" t="s">
        <v>456</v>
      </c>
      <c r="AF39" s="153" t="s">
        <v>1672</v>
      </c>
      <c r="AI39" s="6">
        <v>2</v>
      </c>
      <c r="AJ39" s="114" t="str">
        <f ca="1">IF((WEEKDAY(TODAY(),2))=6,"10:00","09:30")</f>
        <v>09:30</v>
      </c>
      <c r="AK39" s="142" t="str">
        <f>IF(AP39&gt;2000,"15:00",IF(AP39&lt;1000,"16:30","16:00"))</f>
        <v>16:30</v>
      </c>
      <c r="AL39" s="58" t="str">
        <f t="shared" ca="1" si="0"/>
        <v>09:30 - 16:30</v>
      </c>
      <c r="AM39" s="151">
        <v>2</v>
      </c>
      <c r="AN39" s="95">
        <f t="shared" si="1"/>
        <v>300000</v>
      </c>
      <c r="AO39" s="94" t="b">
        <v>1</v>
      </c>
      <c r="AP39" s="34">
        <f t="shared" si="2"/>
        <v>740.2</v>
      </c>
      <c r="AQ39" s="23">
        <f t="shared" si="3"/>
        <v>2</v>
      </c>
      <c r="AR39" s="35" t="s">
        <v>48</v>
      </c>
      <c r="AW39" s="63" t="str">
        <f t="shared" ca="1" si="4"/>
        <v>12:33:12</v>
      </c>
      <c r="AX39" s="173"/>
      <c r="AY39" s="160">
        <v>2</v>
      </c>
      <c r="AZ39" s="10"/>
      <c r="BA39" s="104" t="str">
        <f t="shared" si="5"/>
        <v>МЫТИЩИ-ЮБИЛЕЙНАЯ-10</v>
      </c>
      <c r="BB39" s="87">
        <f>AP39*3.5+10*60</f>
        <v>3190.7000000000003</v>
      </c>
      <c r="BD39" s="123"/>
      <c r="BE39" s="117" t="s">
        <v>1315</v>
      </c>
      <c r="BF39" s="89" t="s">
        <v>1315</v>
      </c>
      <c r="BG39" s="89" t="s">
        <v>1315</v>
      </c>
      <c r="BH39" s="89">
        <v>27.325000000000003</v>
      </c>
      <c r="BI39" s="89" t="s">
        <v>1315</v>
      </c>
      <c r="BJ39" s="89" t="s">
        <v>1315</v>
      </c>
      <c r="BK39" s="89" t="s">
        <v>1315</v>
      </c>
      <c r="BL39" s="10" t="s">
        <v>454</v>
      </c>
    </row>
    <row r="40" spans="1:65" ht="15" customHeight="1" x14ac:dyDescent="0.3">
      <c r="C40" s="1">
        <v>200</v>
      </c>
      <c r="D40" s="6">
        <v>687</v>
      </c>
      <c r="E40" s="6">
        <v>7687</v>
      </c>
      <c r="F40" s="1" t="s">
        <v>1496</v>
      </c>
      <c r="G40" s="8" t="s">
        <v>50</v>
      </c>
      <c r="H40" s="9">
        <v>23.939999999999998</v>
      </c>
      <c r="I40" s="9">
        <v>5.12</v>
      </c>
      <c r="J40" s="179" t="s">
        <v>2088</v>
      </c>
      <c r="K40" s="1" t="s">
        <v>1702</v>
      </c>
      <c r="L40" s="2" t="s">
        <v>44</v>
      </c>
      <c r="M40" s="2" t="s">
        <v>1329</v>
      </c>
      <c r="N40" s="1">
        <v>1</v>
      </c>
      <c r="O40" s="1">
        <v>1</v>
      </c>
      <c r="P40" s="1" t="s">
        <v>51</v>
      </c>
      <c r="Q40" s="1" t="s">
        <v>1194</v>
      </c>
      <c r="R40" t="s">
        <v>2342</v>
      </c>
      <c r="S40" t="s">
        <v>2343</v>
      </c>
      <c r="T40">
        <v>89206969333</v>
      </c>
      <c r="U40" t="s">
        <v>2323</v>
      </c>
      <c r="V40" t="s">
        <v>2344</v>
      </c>
      <c r="W40">
        <v>9941098916</v>
      </c>
      <c r="X40" t="s">
        <v>2117</v>
      </c>
      <c r="Y40" t="s">
        <v>2325</v>
      </c>
      <c r="Z40" t="s">
        <v>2326</v>
      </c>
      <c r="AA40">
        <v>8</v>
      </c>
      <c r="AB40" s="6" t="s">
        <v>839</v>
      </c>
      <c r="AC40" s="2" t="s">
        <v>370</v>
      </c>
      <c r="AF40" s="153" t="s">
        <v>1672</v>
      </c>
      <c r="AI40" s="6">
        <v>2</v>
      </c>
      <c r="AJ40" s="13" t="s">
        <v>1329</v>
      </c>
      <c r="AK40" s="58">
        <v>0.54166666666666696</v>
      </c>
      <c r="AL40" s="58" t="str">
        <f t="shared" si="0"/>
        <v>09:30 - 13:00</v>
      </c>
      <c r="AM40" s="151">
        <v>1</v>
      </c>
      <c r="AN40" s="95">
        <f t="shared" si="1"/>
        <v>300000</v>
      </c>
      <c r="AO40" s="94" t="b">
        <v>1</v>
      </c>
      <c r="AP40" s="34">
        <f t="shared" si="2"/>
        <v>581.19999999999993</v>
      </c>
      <c r="AQ40" s="23">
        <f t="shared" si="3"/>
        <v>2</v>
      </c>
      <c r="AR40" s="35" t="s">
        <v>48</v>
      </c>
      <c r="AW40" s="63" t="str">
        <f t="shared" si="4"/>
        <v>09:30</v>
      </c>
      <c r="AX40" s="173"/>
      <c r="AY40" s="160">
        <v>1</v>
      </c>
      <c r="AZ40" s="10"/>
      <c r="BA40" s="104" t="str">
        <f t="shared" si="5"/>
        <v>МАРШ-РЫБАЛКО-3</v>
      </c>
      <c r="BB40" s="85">
        <f>AP40*3+10*60</f>
        <v>2343.6</v>
      </c>
      <c r="BD40" s="123"/>
      <c r="BE40" s="117" t="s">
        <v>1315</v>
      </c>
      <c r="BF40" s="89" t="s">
        <v>1315</v>
      </c>
      <c r="BG40" s="89">
        <v>53.989999999999995</v>
      </c>
      <c r="BH40" s="89">
        <v>-23.326666666666654</v>
      </c>
      <c r="BI40" s="89" t="s">
        <v>1315</v>
      </c>
      <c r="BJ40" s="89" t="s">
        <v>1315</v>
      </c>
      <c r="BK40" s="89" t="s">
        <v>1315</v>
      </c>
      <c r="BL40" s="1" t="s">
        <v>369</v>
      </c>
    </row>
    <row r="41" spans="1:65" ht="15" customHeight="1" x14ac:dyDescent="0.3">
      <c r="C41" s="1">
        <v>197</v>
      </c>
      <c r="D41" s="6">
        <v>79</v>
      </c>
      <c r="E41" s="6">
        <v>7079</v>
      </c>
      <c r="F41" s="1" t="s">
        <v>1442</v>
      </c>
      <c r="G41" s="8" t="s">
        <v>50</v>
      </c>
      <c r="H41" s="9">
        <v>36.07</v>
      </c>
      <c r="I41" s="9">
        <v>9.8699999999999992</v>
      </c>
      <c r="J41" s="9" t="s">
        <v>1315</v>
      </c>
      <c r="K41" s="1" t="s">
        <v>1702</v>
      </c>
      <c r="L41" s="2" t="s">
        <v>44</v>
      </c>
      <c r="M41" s="2" t="s">
        <v>1851</v>
      </c>
      <c r="N41" s="1">
        <v>1</v>
      </c>
      <c r="O41" s="1">
        <v>2</v>
      </c>
      <c r="P41" s="1" t="s">
        <v>51</v>
      </c>
      <c r="Q41" s="10" t="s">
        <v>367</v>
      </c>
      <c r="R41" t="s">
        <v>2342</v>
      </c>
      <c r="S41" t="s">
        <v>2343</v>
      </c>
      <c r="T41">
        <v>89206969333</v>
      </c>
      <c r="U41" t="s">
        <v>2323</v>
      </c>
      <c r="V41" t="s">
        <v>2344</v>
      </c>
      <c r="W41">
        <v>9941098916</v>
      </c>
      <c r="X41" t="s">
        <v>2117</v>
      </c>
      <c r="Y41" t="s">
        <v>2325</v>
      </c>
      <c r="Z41" t="s">
        <v>2326</v>
      </c>
      <c r="AA41">
        <v>8</v>
      </c>
      <c r="AB41" s="6" t="s">
        <v>838</v>
      </c>
      <c r="AC41" s="2" t="s">
        <v>368</v>
      </c>
      <c r="AF41" s="156" t="s">
        <v>1681</v>
      </c>
      <c r="AI41" s="6">
        <v>2</v>
      </c>
      <c r="AJ41" s="13" t="s">
        <v>1329</v>
      </c>
      <c r="AK41" s="58">
        <v>0.54166666666666696</v>
      </c>
      <c r="AL41" s="58" t="str">
        <f t="shared" si="0"/>
        <v>09:30 - 13:00</v>
      </c>
      <c r="AM41" s="151">
        <v>2</v>
      </c>
      <c r="AN41" s="95">
        <f t="shared" si="1"/>
        <v>300000</v>
      </c>
      <c r="AO41" s="94" t="b">
        <v>1</v>
      </c>
      <c r="AP41" s="34">
        <f t="shared" si="2"/>
        <v>918.8</v>
      </c>
      <c r="AQ41" s="23">
        <f t="shared" si="3"/>
        <v>2</v>
      </c>
      <c r="AR41" s="35" t="s">
        <v>48</v>
      </c>
      <c r="AW41" s="63" t="str">
        <f t="shared" si="4"/>
        <v>10:19:25</v>
      </c>
      <c r="AX41" s="173"/>
      <c r="AY41" s="160">
        <v>1</v>
      </c>
      <c r="AZ41" s="10"/>
      <c r="BA41" s="104" t="str">
        <f t="shared" si="5"/>
        <v>КОСМОДЕМЬЯНСКИХ-ЗИА-35/1</v>
      </c>
      <c r="BB41" s="87">
        <f>AP41*3.5+10*60</f>
        <v>3815.7999999999997</v>
      </c>
      <c r="BD41" s="123"/>
      <c r="BE41" s="117">
        <v>-22.076666666666661</v>
      </c>
      <c r="BF41" s="89">
        <v>-0.40499999999999403</v>
      </c>
      <c r="BG41" s="89" t="s">
        <v>1315</v>
      </c>
      <c r="BH41" s="89" t="s">
        <v>1315</v>
      </c>
      <c r="BI41" s="89" t="s">
        <v>1315</v>
      </c>
      <c r="BJ41" s="89" t="s">
        <v>1315</v>
      </c>
      <c r="BK41" s="89" t="s">
        <v>1315</v>
      </c>
      <c r="BL41" s="1" t="s">
        <v>366</v>
      </c>
    </row>
    <row r="42" spans="1:65" ht="15" customHeight="1" x14ac:dyDescent="0.3">
      <c r="C42" s="1">
        <v>184</v>
      </c>
      <c r="D42" s="6">
        <v>882</v>
      </c>
      <c r="E42" s="6">
        <v>4882</v>
      </c>
      <c r="F42" s="1" t="s">
        <v>1440</v>
      </c>
      <c r="G42" s="8" t="s">
        <v>50</v>
      </c>
      <c r="H42" s="9">
        <v>11.399999999999999</v>
      </c>
      <c r="I42" s="9">
        <v>3.24</v>
      </c>
      <c r="J42" s="9" t="s">
        <v>1315</v>
      </c>
      <c r="K42" s="1" t="s">
        <v>1702</v>
      </c>
      <c r="M42" s="2" t="s">
        <v>1874</v>
      </c>
      <c r="N42" s="1">
        <v>1</v>
      </c>
      <c r="O42" s="1">
        <v>3</v>
      </c>
      <c r="P42" s="1" t="s">
        <v>51</v>
      </c>
      <c r="Q42" s="10" t="s">
        <v>359</v>
      </c>
      <c r="R42" t="s">
        <v>2342</v>
      </c>
      <c r="S42" t="s">
        <v>2343</v>
      </c>
      <c r="T42">
        <v>89206969333</v>
      </c>
      <c r="U42" t="s">
        <v>2323</v>
      </c>
      <c r="V42" t="s">
        <v>2344</v>
      </c>
      <c r="W42">
        <v>9941098916</v>
      </c>
      <c r="X42" t="s">
        <v>2117</v>
      </c>
      <c r="Y42" t="s">
        <v>2325</v>
      </c>
      <c r="Z42" t="s">
        <v>2326</v>
      </c>
      <c r="AA42">
        <v>8</v>
      </c>
      <c r="AB42" s="6" t="s">
        <v>831</v>
      </c>
      <c r="AC42" s="2" t="s">
        <v>360</v>
      </c>
      <c r="AF42" s="156" t="s">
        <v>1681</v>
      </c>
      <c r="AI42" s="6">
        <v>2</v>
      </c>
      <c r="AJ42" s="13" t="s">
        <v>1328</v>
      </c>
      <c r="AK42" s="58">
        <v>0.54166666666666696</v>
      </c>
      <c r="AL42" s="58" t="str">
        <f t="shared" si="0"/>
        <v>09:00 - 13:00</v>
      </c>
      <c r="AM42" s="151">
        <v>2</v>
      </c>
      <c r="AN42" s="95">
        <f t="shared" si="1"/>
        <v>300000</v>
      </c>
      <c r="AO42" s="94" t="b">
        <v>1</v>
      </c>
      <c r="AP42" s="34">
        <f t="shared" si="2"/>
        <v>292.79999999999995</v>
      </c>
      <c r="AQ42" s="23">
        <f t="shared" si="3"/>
        <v>1</v>
      </c>
      <c r="AR42" s="35" t="s">
        <v>48</v>
      </c>
      <c r="AW42" s="63" t="str">
        <f t="shared" si="4"/>
        <v>11:37:03</v>
      </c>
      <c r="AX42" s="173"/>
      <c r="AY42" s="160">
        <v>1</v>
      </c>
      <c r="AZ42" s="10"/>
      <c r="BA42" s="104" t="str">
        <f t="shared" si="5"/>
        <v>КРОНШТАДСКИЙ-Б-Р-47</v>
      </c>
      <c r="BB42" s="85">
        <f>AP42*2.8+10*60</f>
        <v>1419.8399999999997</v>
      </c>
      <c r="BD42" s="123"/>
      <c r="BE42" s="117">
        <v>-24.727333333333334</v>
      </c>
      <c r="BF42" s="89">
        <v>-7.458000000000002</v>
      </c>
      <c r="BG42" s="89" t="s">
        <v>1315</v>
      </c>
      <c r="BH42" s="89" t="s">
        <v>1315</v>
      </c>
      <c r="BI42" s="89" t="s">
        <v>1315</v>
      </c>
      <c r="BJ42" s="89" t="s">
        <v>1315</v>
      </c>
      <c r="BK42" s="89" t="s">
        <v>1315</v>
      </c>
      <c r="BL42" s="1" t="s">
        <v>358</v>
      </c>
    </row>
    <row r="43" spans="1:65" ht="15" customHeight="1" x14ac:dyDescent="0.3">
      <c r="C43" s="1">
        <v>185</v>
      </c>
      <c r="D43" s="6">
        <v>769</v>
      </c>
      <c r="E43" s="6">
        <v>4769</v>
      </c>
      <c r="F43" s="1" t="s">
        <v>1490</v>
      </c>
      <c r="G43" s="8" t="s">
        <v>50</v>
      </c>
      <c r="H43" s="9">
        <v>25.759999999999998</v>
      </c>
      <c r="I43" s="9">
        <v>15.71</v>
      </c>
      <c r="J43" s="9" t="s">
        <v>1315</v>
      </c>
      <c r="K43" s="1" t="s">
        <v>1702</v>
      </c>
      <c r="M43" s="2" t="s">
        <v>1873</v>
      </c>
      <c r="N43" s="1">
        <v>1</v>
      </c>
      <c r="O43" s="1">
        <v>4</v>
      </c>
      <c r="P43" s="1" t="s">
        <v>51</v>
      </c>
      <c r="Q43" s="10" t="s">
        <v>362</v>
      </c>
      <c r="R43" t="s">
        <v>2342</v>
      </c>
      <c r="S43" t="s">
        <v>2343</v>
      </c>
      <c r="T43">
        <v>89206969333</v>
      </c>
      <c r="U43" t="s">
        <v>2323</v>
      </c>
      <c r="V43" t="s">
        <v>2344</v>
      </c>
      <c r="W43">
        <v>9941098916</v>
      </c>
      <c r="X43" t="s">
        <v>2117</v>
      </c>
      <c r="Y43" t="s">
        <v>2325</v>
      </c>
      <c r="Z43" t="s">
        <v>2326</v>
      </c>
      <c r="AA43">
        <v>8</v>
      </c>
      <c r="AB43" s="6" t="s">
        <v>832</v>
      </c>
      <c r="AC43" s="2" t="s">
        <v>1286</v>
      </c>
      <c r="AD43" s="48">
        <v>55.858260000000001</v>
      </c>
      <c r="AE43" s="48">
        <v>37.483798</v>
      </c>
      <c r="AF43" s="153" t="s">
        <v>1672</v>
      </c>
      <c r="AI43" s="6">
        <v>2</v>
      </c>
      <c r="AJ43" s="13" t="s">
        <v>1328</v>
      </c>
      <c r="AK43" s="58">
        <v>0.54166666666666696</v>
      </c>
      <c r="AL43" s="58" t="str">
        <f t="shared" si="0"/>
        <v>09:00 - 13:00</v>
      </c>
      <c r="AM43" s="151">
        <v>2</v>
      </c>
      <c r="AN43" s="95">
        <f t="shared" si="1"/>
        <v>300000</v>
      </c>
      <c r="AO43" s="94" t="b">
        <v>1</v>
      </c>
      <c r="AP43" s="34">
        <f t="shared" si="2"/>
        <v>829.4</v>
      </c>
      <c r="AQ43" s="23">
        <f t="shared" si="3"/>
        <v>2</v>
      </c>
      <c r="AR43" s="35" t="s">
        <v>48</v>
      </c>
      <c r="AW43" s="63" t="str">
        <f t="shared" si="4"/>
        <v>12:09:42</v>
      </c>
      <c r="AX43" s="173"/>
      <c r="AY43" s="160">
        <v>1</v>
      </c>
      <c r="AZ43" s="10"/>
      <c r="BA43" s="104" t="str">
        <f t="shared" si="5"/>
        <v>ФЕСТИВАЛЬНАЯ-41К1</v>
      </c>
      <c r="BB43" s="87">
        <f>AP43*3.2+10*60</f>
        <v>3254.08</v>
      </c>
      <c r="BD43" s="123"/>
      <c r="BE43" s="117">
        <v>-24.173333333333332</v>
      </c>
      <c r="BF43" s="89">
        <v>-24.19166666666667</v>
      </c>
      <c r="BG43" s="89" t="s">
        <v>1315</v>
      </c>
      <c r="BH43" s="89">
        <v>-1.5880000000000081</v>
      </c>
      <c r="BI43" s="89" t="s">
        <v>1315</v>
      </c>
      <c r="BJ43" s="89">
        <v>-29.811333333333327</v>
      </c>
      <c r="BK43" s="89" t="s">
        <v>1315</v>
      </c>
      <c r="BL43" s="1" t="s">
        <v>361</v>
      </c>
    </row>
    <row r="44" spans="1:65" ht="15" customHeight="1" x14ac:dyDescent="0.3">
      <c r="C44" s="1">
        <v>179</v>
      </c>
      <c r="D44" s="6">
        <v>963</v>
      </c>
      <c r="E44" s="6">
        <v>4963</v>
      </c>
      <c r="F44" s="36" t="s">
        <v>1489</v>
      </c>
      <c r="G44" s="8" t="s">
        <v>50</v>
      </c>
      <c r="H44" s="9">
        <v>8.51</v>
      </c>
      <c r="I44" s="9">
        <v>1.41</v>
      </c>
      <c r="J44" s="9" t="s">
        <v>1315</v>
      </c>
      <c r="K44" s="1" t="s">
        <v>1702</v>
      </c>
      <c r="M44" s="2" t="s">
        <v>1853</v>
      </c>
      <c r="N44" s="1">
        <v>1</v>
      </c>
      <c r="O44" s="1">
        <v>5</v>
      </c>
      <c r="P44" s="1" t="s">
        <v>51</v>
      </c>
      <c r="Q44" s="10" t="s">
        <v>356</v>
      </c>
      <c r="R44" t="s">
        <v>2342</v>
      </c>
      <c r="S44" t="s">
        <v>2343</v>
      </c>
      <c r="T44">
        <v>89206969333</v>
      </c>
      <c r="U44" t="s">
        <v>2323</v>
      </c>
      <c r="V44" t="s">
        <v>2344</v>
      </c>
      <c r="W44">
        <v>9941098916</v>
      </c>
      <c r="X44" t="s">
        <v>2117</v>
      </c>
      <c r="Y44" t="s">
        <v>2325</v>
      </c>
      <c r="Z44" t="s">
        <v>2326</v>
      </c>
      <c r="AA44">
        <v>8</v>
      </c>
      <c r="AB44" s="6" t="s">
        <v>829</v>
      </c>
      <c r="AC44" s="2" t="s">
        <v>357</v>
      </c>
      <c r="AD44" s="48" t="s">
        <v>1159</v>
      </c>
      <c r="AE44" s="48" t="s">
        <v>1160</v>
      </c>
      <c r="AF44" s="14" t="s">
        <v>732</v>
      </c>
      <c r="AI44" s="6">
        <v>2</v>
      </c>
      <c r="AJ44" s="13" t="s">
        <v>1328</v>
      </c>
      <c r="AK44" s="142" t="str">
        <f>IF(AP44&gt;2000,"15:00",IF(AP44&lt;1000,"16:30","16:00"))</f>
        <v>16:30</v>
      </c>
      <c r="AL44" s="58" t="str">
        <f t="shared" si="0"/>
        <v>09:00 - 16:30</v>
      </c>
      <c r="AM44" s="151">
        <v>2</v>
      </c>
      <c r="AN44" s="95">
        <f t="shared" si="1"/>
        <v>300000</v>
      </c>
      <c r="AO44" s="94" t="b">
        <v>1</v>
      </c>
      <c r="AP44" s="34">
        <f t="shared" si="2"/>
        <v>198.39999999999998</v>
      </c>
      <c r="AQ44" s="23">
        <f t="shared" si="3"/>
        <v>1</v>
      </c>
      <c r="AR44" s="35" t="s">
        <v>48</v>
      </c>
      <c r="AW44" s="63" t="str">
        <f t="shared" si="4"/>
        <v>13:10:06</v>
      </c>
      <c r="AX44" s="173"/>
      <c r="AY44" s="160">
        <v>2</v>
      </c>
      <c r="AZ44" s="10"/>
      <c r="BA44" s="104" t="str">
        <f t="shared" si="5"/>
        <v>БЕЛОМОРСКАЯ-23</v>
      </c>
      <c r="BB44" s="87">
        <f>AP44*3.5+10*60</f>
        <v>1294.3999999999999</v>
      </c>
      <c r="BD44" s="123"/>
      <c r="BE44" s="117" t="s">
        <v>1315</v>
      </c>
      <c r="BF44" s="89">
        <v>-3.3783333333333303</v>
      </c>
      <c r="BG44" s="89" t="s">
        <v>1315</v>
      </c>
      <c r="BH44" s="89" t="s">
        <v>1315</v>
      </c>
      <c r="BI44" s="89">
        <v>30.606666666666669</v>
      </c>
      <c r="BJ44" s="89" t="s">
        <v>1315</v>
      </c>
      <c r="BK44" s="89" t="s">
        <v>1315</v>
      </c>
      <c r="BL44" s="36" t="s">
        <v>355</v>
      </c>
    </row>
    <row r="45" spans="1:65" ht="15" customHeight="1" x14ac:dyDescent="0.3">
      <c r="C45" s="1">
        <v>585</v>
      </c>
      <c r="D45" s="6">
        <v>623</v>
      </c>
      <c r="E45" s="6">
        <v>7623</v>
      </c>
      <c r="F45" s="1" t="s">
        <v>1625</v>
      </c>
      <c r="G45" s="8" t="s">
        <v>50</v>
      </c>
      <c r="H45" s="9">
        <v>15.15</v>
      </c>
      <c r="I45" s="9">
        <v>4.26</v>
      </c>
      <c r="J45" s="9" t="s">
        <v>1825</v>
      </c>
      <c r="K45" s="1" t="s">
        <v>1715</v>
      </c>
      <c r="L45" s="2" t="s">
        <v>44</v>
      </c>
      <c r="M45" s="2" t="s">
        <v>1329</v>
      </c>
      <c r="N45" s="1">
        <v>1</v>
      </c>
      <c r="O45" s="1">
        <v>1</v>
      </c>
      <c r="P45" s="1" t="s">
        <v>51</v>
      </c>
      <c r="Q45" s="10" t="s">
        <v>663</v>
      </c>
      <c r="R45" t="s">
        <v>2345</v>
      </c>
      <c r="S45" t="s">
        <v>2346</v>
      </c>
      <c r="T45" t="s">
        <v>2347</v>
      </c>
      <c r="U45" t="s">
        <v>2323</v>
      </c>
      <c r="V45" t="s">
        <v>2348</v>
      </c>
      <c r="W45">
        <v>9938463366</v>
      </c>
      <c r="X45" t="s">
        <v>2117</v>
      </c>
      <c r="Y45" t="s">
        <v>2325</v>
      </c>
      <c r="Z45" t="s">
        <v>2326</v>
      </c>
      <c r="AA45">
        <v>8</v>
      </c>
      <c r="AB45" s="6" t="s">
        <v>1279</v>
      </c>
      <c r="AC45" s="2" t="s">
        <v>664</v>
      </c>
      <c r="AF45" s="14" t="s">
        <v>732</v>
      </c>
      <c r="AG45" s="5" t="s">
        <v>28</v>
      </c>
      <c r="AH45" s="5">
        <v>100</v>
      </c>
      <c r="AI45" s="6">
        <v>2</v>
      </c>
      <c r="AJ45" s="13" t="s">
        <v>1329</v>
      </c>
      <c r="AK45" s="58">
        <v>0.5</v>
      </c>
      <c r="AL45" s="58" t="str">
        <f t="shared" si="0"/>
        <v>09:30 - 12:00</v>
      </c>
      <c r="AM45" s="151"/>
      <c r="AN45" s="95">
        <f t="shared" si="1"/>
        <v>300000</v>
      </c>
      <c r="AO45" s="94" t="b">
        <v>1</v>
      </c>
      <c r="AP45" s="34">
        <f t="shared" si="2"/>
        <v>388.2</v>
      </c>
      <c r="AQ45" s="23">
        <f t="shared" si="3"/>
        <v>1</v>
      </c>
      <c r="AR45" s="35" t="s">
        <v>48</v>
      </c>
      <c r="AW45" s="63" t="str">
        <f t="shared" si="4"/>
        <v>09:30</v>
      </c>
      <c r="AX45" s="10"/>
      <c r="AY45" s="160">
        <v>1</v>
      </c>
      <c r="AZ45" s="10"/>
      <c r="BA45" s="104" t="str">
        <f t="shared" si="5"/>
        <v>НЕГЛИННАЯ-16/2С4</v>
      </c>
      <c r="BB45" s="86">
        <f>AP45*4.5+10*60</f>
        <v>2346.8999999999996</v>
      </c>
      <c r="BD45" s="123"/>
      <c r="BE45" s="117" t="s">
        <v>1315</v>
      </c>
      <c r="BF45" s="89">
        <v>37.159333333333308</v>
      </c>
      <c r="BG45" s="89" t="s">
        <v>1315</v>
      </c>
      <c r="BH45" s="89" t="s">
        <v>1315</v>
      </c>
      <c r="BI45" s="89" t="s">
        <v>1315</v>
      </c>
      <c r="BJ45" s="89" t="s">
        <v>1315</v>
      </c>
      <c r="BK45" s="89">
        <v>46.276666666666699</v>
      </c>
      <c r="BL45" s="1" t="s">
        <v>662</v>
      </c>
    </row>
    <row r="46" spans="1:65" ht="15" customHeight="1" x14ac:dyDescent="0.3">
      <c r="C46" s="1">
        <v>588</v>
      </c>
      <c r="D46" s="6">
        <v>23</v>
      </c>
      <c r="E46" s="6">
        <v>7023</v>
      </c>
      <c r="F46" s="118" t="s">
        <v>1628</v>
      </c>
      <c r="G46" s="8" t="s">
        <v>50</v>
      </c>
      <c r="H46" s="9">
        <v>22.130000000000003</v>
      </c>
      <c r="I46" s="9">
        <v>10.130000000000001</v>
      </c>
      <c r="J46" s="9" t="s">
        <v>1315</v>
      </c>
      <c r="K46" s="1" t="s">
        <v>1715</v>
      </c>
      <c r="L46" s="2" t="s">
        <v>44</v>
      </c>
      <c r="M46" s="2" t="s">
        <v>1876</v>
      </c>
      <c r="N46" s="1">
        <v>1</v>
      </c>
      <c r="O46" s="1">
        <v>2</v>
      </c>
      <c r="P46" s="1" t="s">
        <v>51</v>
      </c>
      <c r="Q46" s="10" t="s">
        <v>672</v>
      </c>
      <c r="R46" t="s">
        <v>2345</v>
      </c>
      <c r="S46" t="s">
        <v>2346</v>
      </c>
      <c r="T46" t="s">
        <v>2347</v>
      </c>
      <c r="U46" t="s">
        <v>2323</v>
      </c>
      <c r="V46" t="s">
        <v>2348</v>
      </c>
      <c r="W46">
        <v>9938463366</v>
      </c>
      <c r="X46" t="s">
        <v>2117</v>
      </c>
      <c r="Y46" t="s">
        <v>2325</v>
      </c>
      <c r="Z46" t="s">
        <v>2326</v>
      </c>
      <c r="AA46">
        <v>8</v>
      </c>
      <c r="AB46" s="6" t="s">
        <v>1282</v>
      </c>
      <c r="AC46" s="2" t="s">
        <v>673</v>
      </c>
      <c r="AD46" s="48" t="s">
        <v>1170</v>
      </c>
      <c r="AE46" s="48" t="s">
        <v>1169</v>
      </c>
      <c r="AF46" s="14" t="s">
        <v>1337</v>
      </c>
      <c r="AG46" s="5" t="s">
        <v>28</v>
      </c>
      <c r="AH46" s="5">
        <v>100</v>
      </c>
      <c r="AI46" s="6">
        <v>2</v>
      </c>
      <c r="AJ46" s="13" t="s">
        <v>1329</v>
      </c>
      <c r="AK46" s="58">
        <v>0.5</v>
      </c>
      <c r="AL46" s="58" t="str">
        <f t="shared" si="0"/>
        <v>09:30 - 12:00</v>
      </c>
      <c r="AM46" s="151"/>
      <c r="AN46" s="124">
        <v>50000000</v>
      </c>
      <c r="AO46" s="94" t="b">
        <v>1</v>
      </c>
      <c r="AP46" s="34">
        <f t="shared" si="2"/>
        <v>645.20000000000005</v>
      </c>
      <c r="AQ46" s="23">
        <f t="shared" si="3"/>
        <v>2</v>
      </c>
      <c r="AR46" s="35" t="s">
        <v>48</v>
      </c>
      <c r="AW46" s="63" t="str">
        <f t="shared" si="4"/>
        <v>10:19:08</v>
      </c>
      <c r="AX46" s="10"/>
      <c r="AY46" s="160">
        <v>1</v>
      </c>
      <c r="AZ46" s="10"/>
      <c r="BA46" s="104" t="str">
        <f t="shared" si="5"/>
        <v>ПОКРОВКА-29С1</v>
      </c>
      <c r="BB46" s="70">
        <f>AP46*4.1+10*60</f>
        <v>3245.32</v>
      </c>
      <c r="BD46" s="123"/>
      <c r="BE46" s="117" t="s">
        <v>1315</v>
      </c>
      <c r="BF46" s="89" t="s">
        <v>1315</v>
      </c>
      <c r="BG46" s="89" t="s">
        <v>1315</v>
      </c>
      <c r="BH46" s="89" t="s">
        <v>1315</v>
      </c>
      <c r="BI46" s="89" t="s">
        <v>1315</v>
      </c>
      <c r="BJ46" s="89" t="s">
        <v>1315</v>
      </c>
      <c r="BK46" s="89" t="s">
        <v>1315</v>
      </c>
      <c r="BL46" s="118" t="s">
        <v>671</v>
      </c>
    </row>
    <row r="47" spans="1:65" ht="15" customHeight="1" x14ac:dyDescent="0.3">
      <c r="C47" s="1">
        <v>188</v>
      </c>
      <c r="D47" s="6">
        <v>7230</v>
      </c>
      <c r="E47" s="6">
        <v>4230</v>
      </c>
      <c r="F47" s="54" t="s">
        <v>1492</v>
      </c>
      <c r="G47" s="8" t="s">
        <v>50</v>
      </c>
      <c r="H47" s="9">
        <v>33.739999999999995</v>
      </c>
      <c r="I47" s="9">
        <v>17.62</v>
      </c>
      <c r="J47" s="179" t="s">
        <v>2091</v>
      </c>
      <c r="K47" s="1" t="s">
        <v>1708</v>
      </c>
      <c r="M47" s="2" t="s">
        <v>1328</v>
      </c>
      <c r="N47" s="1">
        <v>1</v>
      </c>
      <c r="O47" s="1">
        <v>1</v>
      </c>
      <c r="P47" s="1" t="s">
        <v>51</v>
      </c>
      <c r="Q47" s="10" t="s">
        <v>1264</v>
      </c>
      <c r="R47" t="s">
        <v>2161</v>
      </c>
      <c r="S47" t="s">
        <v>2162</v>
      </c>
      <c r="T47" t="s">
        <v>2163</v>
      </c>
      <c r="U47" t="s">
        <v>2164</v>
      </c>
      <c r="V47" t="s">
        <v>2165</v>
      </c>
      <c r="W47" t="s">
        <v>2166</v>
      </c>
      <c r="X47" t="s">
        <v>2167</v>
      </c>
      <c r="Y47" t="s">
        <v>2139</v>
      </c>
      <c r="Z47" t="s">
        <v>2168</v>
      </c>
      <c r="AA47">
        <v>12</v>
      </c>
      <c r="AB47" s="6" t="s">
        <v>834</v>
      </c>
      <c r="AC47" s="10" t="s">
        <v>1265</v>
      </c>
      <c r="AF47" s="167" t="s">
        <v>1672</v>
      </c>
      <c r="AI47" s="6">
        <v>2</v>
      </c>
      <c r="AJ47" s="13" t="s">
        <v>1328</v>
      </c>
      <c r="AK47" s="162">
        <v>0.75</v>
      </c>
      <c r="AL47" s="58" t="str">
        <f t="shared" si="0"/>
        <v>09:00 - 18:00</v>
      </c>
      <c r="AM47" s="151">
        <v>2</v>
      </c>
      <c r="AN47" s="95">
        <f t="shared" ref="AN47:AN78" si="8">IF(AP47&gt;1000,(AP47*320),300000)</f>
        <v>328704</v>
      </c>
      <c r="AO47" s="94" t="b">
        <v>1</v>
      </c>
      <c r="AP47" s="34">
        <f t="shared" si="2"/>
        <v>1027.2</v>
      </c>
      <c r="AQ47" s="23">
        <f t="shared" si="3"/>
        <v>2</v>
      </c>
      <c r="AR47" s="35" t="s">
        <v>48</v>
      </c>
      <c r="AW47" s="63" t="str">
        <f t="shared" si="4"/>
        <v>09:00</v>
      </c>
      <c r="AX47" s="173"/>
      <c r="AY47" s="160">
        <v>3</v>
      </c>
      <c r="AZ47" s="10"/>
      <c r="BA47" s="104" t="str">
        <f t="shared" si="5"/>
        <v>ЛЕНИНГРАДСКОЕ-Ш-58С26</v>
      </c>
      <c r="BB47" s="87">
        <f>AP47*3.5+10*60</f>
        <v>4195.2000000000007</v>
      </c>
      <c r="BD47" s="123"/>
      <c r="BE47" s="117" t="s">
        <v>1315</v>
      </c>
      <c r="BF47" s="89" t="s">
        <v>1315</v>
      </c>
      <c r="BG47" s="89" t="s">
        <v>1315</v>
      </c>
      <c r="BH47" s="89" t="s">
        <v>1315</v>
      </c>
      <c r="BI47" s="89" t="s">
        <v>1315</v>
      </c>
      <c r="BJ47" s="89" t="s">
        <v>1315</v>
      </c>
      <c r="BK47" s="89" t="s">
        <v>1315</v>
      </c>
      <c r="BL47" s="54" t="s">
        <v>1266</v>
      </c>
    </row>
    <row r="48" spans="1:65" ht="15" customHeight="1" x14ac:dyDescent="0.3">
      <c r="C48" s="1">
        <v>346</v>
      </c>
      <c r="D48" s="6">
        <v>25971</v>
      </c>
      <c r="E48" s="6">
        <v>4971</v>
      </c>
      <c r="F48" s="17" t="s">
        <v>1657</v>
      </c>
      <c r="G48" s="8" t="s">
        <v>43</v>
      </c>
      <c r="H48" s="9">
        <v>37.909999999999997</v>
      </c>
      <c r="I48" s="9">
        <v>7.96</v>
      </c>
      <c r="J48" s="9" t="s">
        <v>1315</v>
      </c>
      <c r="K48" s="1" t="s">
        <v>1708</v>
      </c>
      <c r="M48" s="2" t="s">
        <v>1860</v>
      </c>
      <c r="N48" s="1">
        <v>1</v>
      </c>
      <c r="O48" s="1">
        <v>2</v>
      </c>
      <c r="P48" s="1" t="s">
        <v>442</v>
      </c>
      <c r="Q48" s="1" t="s">
        <v>464</v>
      </c>
      <c r="R48" t="s">
        <v>2161</v>
      </c>
      <c r="S48" t="s">
        <v>2162</v>
      </c>
      <c r="T48" t="s">
        <v>2163</v>
      </c>
      <c r="U48" t="s">
        <v>2164</v>
      </c>
      <c r="V48" t="s">
        <v>2165</v>
      </c>
      <c r="W48" t="s">
        <v>2166</v>
      </c>
      <c r="X48" t="s">
        <v>2167</v>
      </c>
      <c r="Y48" t="s">
        <v>2139</v>
      </c>
      <c r="Z48" t="s">
        <v>2168</v>
      </c>
      <c r="AA48">
        <v>12</v>
      </c>
      <c r="AB48" s="6" t="s">
        <v>902</v>
      </c>
      <c r="AC48" s="2" t="s">
        <v>465</v>
      </c>
      <c r="AF48" s="153" t="s">
        <v>1672</v>
      </c>
      <c r="AI48" s="6">
        <v>2</v>
      </c>
      <c r="AJ48" s="114" t="str">
        <f ca="1">IF((WEEKDAY(TODAY(),2))=6,"10:00","09:30")</f>
        <v>09:30</v>
      </c>
      <c r="AK48" s="58">
        <v>0.54166666666666696</v>
      </c>
      <c r="AL48" s="58" t="str">
        <f t="shared" ca="1" si="0"/>
        <v>09:30 - 13:00</v>
      </c>
      <c r="AM48" s="151">
        <v>2</v>
      </c>
      <c r="AN48" s="95">
        <f t="shared" si="8"/>
        <v>300000</v>
      </c>
      <c r="AO48" s="94" t="b">
        <v>1</v>
      </c>
      <c r="AP48" s="34">
        <f t="shared" si="2"/>
        <v>917.39999999999986</v>
      </c>
      <c r="AQ48" s="23">
        <f t="shared" si="3"/>
        <v>2</v>
      </c>
      <c r="AR48" s="35" t="s">
        <v>48</v>
      </c>
      <c r="AW48" s="63" t="str">
        <f t="shared" ca="1" si="4"/>
        <v>10:44:34</v>
      </c>
      <c r="AX48" s="173"/>
      <c r="AY48" s="160">
        <v>1</v>
      </c>
      <c r="AZ48" s="10"/>
      <c r="BA48" s="104" t="str">
        <f t="shared" si="5"/>
        <v>МЫТИЩИ-ОСТАШКОВСКОЕ-Ш-22К2</v>
      </c>
      <c r="BB48" s="87">
        <f>AP48*3.5+10*60</f>
        <v>3810.8999999999996</v>
      </c>
      <c r="BD48" s="123"/>
      <c r="BE48" s="117" t="s">
        <v>1315</v>
      </c>
      <c r="BF48" s="89" t="s">
        <v>1315</v>
      </c>
      <c r="BG48" s="89" t="s">
        <v>1315</v>
      </c>
      <c r="BH48" s="89" t="s">
        <v>1315</v>
      </c>
      <c r="BI48" s="89" t="s">
        <v>1315</v>
      </c>
      <c r="BJ48" s="89" t="s">
        <v>1315</v>
      </c>
      <c r="BK48" s="89" t="s">
        <v>1315</v>
      </c>
      <c r="BL48" s="17" t="s">
        <v>463</v>
      </c>
    </row>
    <row r="49" spans="1:65" ht="15" customHeight="1" x14ac:dyDescent="0.3">
      <c r="C49" s="1">
        <v>315</v>
      </c>
      <c r="D49" s="6">
        <v>50972</v>
      </c>
      <c r="E49" s="6">
        <v>4972</v>
      </c>
      <c r="F49" s="36" t="s">
        <v>1529</v>
      </c>
      <c r="G49" s="8" t="s">
        <v>43</v>
      </c>
      <c r="H49" s="9">
        <v>120.86</v>
      </c>
      <c r="I49" s="9">
        <v>25.8</v>
      </c>
      <c r="J49" s="9" t="s">
        <v>1315</v>
      </c>
      <c r="K49" s="1" t="s">
        <v>1708</v>
      </c>
      <c r="M49" s="2" t="s">
        <v>1913</v>
      </c>
      <c r="N49" s="1">
        <v>1</v>
      </c>
      <c r="O49" s="1">
        <v>3</v>
      </c>
      <c r="P49" s="1" t="s">
        <v>430</v>
      </c>
      <c r="Q49" s="10" t="s">
        <v>431</v>
      </c>
      <c r="R49" t="s">
        <v>2161</v>
      </c>
      <c r="S49" t="s">
        <v>2162</v>
      </c>
      <c r="T49" t="s">
        <v>2163</v>
      </c>
      <c r="U49" t="s">
        <v>2164</v>
      </c>
      <c r="V49" t="s">
        <v>2165</v>
      </c>
      <c r="W49" t="s">
        <v>2166</v>
      </c>
      <c r="X49" t="s">
        <v>2167</v>
      </c>
      <c r="Y49" t="s">
        <v>2139</v>
      </c>
      <c r="Z49" t="s">
        <v>2168</v>
      </c>
      <c r="AA49">
        <v>12</v>
      </c>
      <c r="AB49" s="6" t="s">
        <v>888</v>
      </c>
      <c r="AC49" s="2" t="s">
        <v>432</v>
      </c>
      <c r="AF49" s="153" t="s">
        <v>1672</v>
      </c>
      <c r="AI49" s="6">
        <v>2</v>
      </c>
      <c r="AJ49" s="114" t="str">
        <f ca="1">IF((WEEKDAY(TODAY(),2))=6,"10:00","09:30")</f>
        <v>09:30</v>
      </c>
      <c r="AK49" s="58">
        <v>0.54166666666666696</v>
      </c>
      <c r="AL49" s="58" t="str">
        <f t="shared" ca="1" si="0"/>
        <v>09:30 - 13:00</v>
      </c>
      <c r="AM49" s="151">
        <v>2</v>
      </c>
      <c r="AN49" s="95">
        <f t="shared" si="8"/>
        <v>938624</v>
      </c>
      <c r="AO49" s="94" t="b">
        <v>1</v>
      </c>
      <c r="AP49" s="34">
        <f t="shared" si="2"/>
        <v>2933.2</v>
      </c>
      <c r="AQ49" s="23">
        <f t="shared" si="3"/>
        <v>6</v>
      </c>
      <c r="AR49" s="35" t="s">
        <v>48</v>
      </c>
      <c r="AW49" s="63" t="str">
        <f t="shared" ca="1" si="4"/>
        <v>12:32:22</v>
      </c>
      <c r="AX49" s="173"/>
      <c r="AY49" s="160">
        <v>1</v>
      </c>
      <c r="AZ49" s="10"/>
      <c r="BA49" s="104" t="str">
        <f t="shared" si="5"/>
        <v>ШОЛОХОВО-ЮНОСТИ-1</v>
      </c>
      <c r="BB49" s="85">
        <f>AP49*3+10*60</f>
        <v>9399.5999999999985</v>
      </c>
      <c r="BD49" s="123"/>
      <c r="BE49" s="117" t="s">
        <v>1315</v>
      </c>
      <c r="BF49" s="89" t="s">
        <v>1315</v>
      </c>
      <c r="BG49" s="89" t="s">
        <v>1315</v>
      </c>
      <c r="BH49" s="89" t="s">
        <v>1315</v>
      </c>
      <c r="BI49" s="89">
        <v>-25.549999999999997</v>
      </c>
      <c r="BJ49" s="89" t="s">
        <v>1315</v>
      </c>
      <c r="BK49" s="89" t="s">
        <v>1315</v>
      </c>
      <c r="BL49" s="36" t="s">
        <v>429</v>
      </c>
    </row>
    <row r="50" spans="1:65" ht="15" customHeight="1" x14ac:dyDescent="0.3">
      <c r="C50" s="1">
        <v>111</v>
      </c>
      <c r="D50" s="6">
        <v>7047</v>
      </c>
      <c r="E50" s="6">
        <v>4047</v>
      </c>
      <c r="F50" s="1" t="s">
        <v>1467</v>
      </c>
      <c r="G50" s="8" t="s">
        <v>50</v>
      </c>
      <c r="H50" s="9">
        <v>40.14</v>
      </c>
      <c r="I50" s="9">
        <v>6.82</v>
      </c>
      <c r="J50" s="179" t="s">
        <v>2091</v>
      </c>
      <c r="K50" s="1" t="s">
        <v>1718</v>
      </c>
      <c r="M50" s="2" t="s">
        <v>1898</v>
      </c>
      <c r="N50" s="1">
        <v>1</v>
      </c>
      <c r="O50" s="1">
        <v>1</v>
      </c>
      <c r="P50" s="1" t="s">
        <v>51</v>
      </c>
      <c r="Q50" s="10" t="s">
        <v>725</v>
      </c>
      <c r="R50" t="s">
        <v>2169</v>
      </c>
      <c r="S50" t="s">
        <v>2170</v>
      </c>
      <c r="T50" t="s">
        <v>2171</v>
      </c>
      <c r="U50" t="s">
        <v>2097</v>
      </c>
      <c r="V50" t="s">
        <v>2172</v>
      </c>
      <c r="W50" t="s">
        <v>2173</v>
      </c>
      <c r="X50" t="s">
        <v>2167</v>
      </c>
      <c r="Y50" t="s">
        <v>2139</v>
      </c>
      <c r="Z50" t="s">
        <v>2168</v>
      </c>
      <c r="AA50">
        <v>12</v>
      </c>
      <c r="AB50" s="6" t="s">
        <v>794</v>
      </c>
      <c r="AC50" s="10" t="s">
        <v>726</v>
      </c>
      <c r="AF50" s="53" t="s">
        <v>1672</v>
      </c>
      <c r="AH50" s="24"/>
      <c r="AI50" s="6">
        <v>2</v>
      </c>
      <c r="AJ50" s="13" t="s">
        <v>1328</v>
      </c>
      <c r="AK50" s="58">
        <v>0.54166666666666696</v>
      </c>
      <c r="AL50" s="58" t="str">
        <f t="shared" si="0"/>
        <v>09:00 - 13:00</v>
      </c>
      <c r="AM50" s="151">
        <v>5</v>
      </c>
      <c r="AN50" s="95">
        <f t="shared" si="8"/>
        <v>300000</v>
      </c>
      <c r="AO50" s="94" t="b">
        <v>1</v>
      </c>
      <c r="AP50" s="34">
        <f t="shared" si="2"/>
        <v>939.19999999999993</v>
      </c>
      <c r="AQ50" s="23">
        <f t="shared" si="3"/>
        <v>2</v>
      </c>
      <c r="AR50" s="35" t="s">
        <v>48</v>
      </c>
      <c r="AU50" s="46"/>
      <c r="AW50" s="63" t="str">
        <f t="shared" si="4"/>
        <v>09:07:29</v>
      </c>
      <c r="AX50" s="10"/>
      <c r="AY50" s="160">
        <v>1</v>
      </c>
      <c r="AZ50" s="10"/>
      <c r="BA50" s="104" t="str">
        <f t="shared" si="5"/>
        <v>КАХОВКА-25</v>
      </c>
      <c r="BB50" s="85">
        <f>AP50*3+10*60</f>
        <v>3417.6</v>
      </c>
      <c r="BD50" s="123"/>
      <c r="BE50" s="117" t="s">
        <v>1315</v>
      </c>
      <c r="BF50" s="89">
        <v>-7.6033333333333317</v>
      </c>
      <c r="BG50" s="89">
        <v>-18.813333333333333</v>
      </c>
      <c r="BH50" s="89">
        <v>-4.9200000000000017</v>
      </c>
      <c r="BI50" s="89" t="s">
        <v>1315</v>
      </c>
      <c r="BJ50" s="89" t="s">
        <v>1315</v>
      </c>
      <c r="BK50" s="89" t="s">
        <v>1315</v>
      </c>
      <c r="BL50" s="1" t="s">
        <v>724</v>
      </c>
    </row>
    <row r="51" spans="1:65" ht="15" customHeight="1" x14ac:dyDescent="0.3">
      <c r="C51" s="1">
        <v>19</v>
      </c>
      <c r="D51" s="6">
        <v>712</v>
      </c>
      <c r="E51" s="6">
        <v>4712</v>
      </c>
      <c r="F51" s="1" t="s">
        <v>1372</v>
      </c>
      <c r="G51" s="8" t="s">
        <v>50</v>
      </c>
      <c r="H51" s="9">
        <v>58</v>
      </c>
      <c r="I51" s="9">
        <v>12.83</v>
      </c>
      <c r="J51" s="9" t="s">
        <v>1315</v>
      </c>
      <c r="K51" s="1" t="s">
        <v>1718</v>
      </c>
      <c r="M51" s="2" t="s">
        <v>1900</v>
      </c>
      <c r="N51" s="1">
        <v>1</v>
      </c>
      <c r="O51" s="1">
        <v>2</v>
      </c>
      <c r="P51" s="1" t="s">
        <v>51</v>
      </c>
      <c r="Q51" s="1" t="s">
        <v>228</v>
      </c>
      <c r="R51" t="s">
        <v>2169</v>
      </c>
      <c r="S51" t="s">
        <v>2170</v>
      </c>
      <c r="T51" t="s">
        <v>2171</v>
      </c>
      <c r="U51" t="s">
        <v>2097</v>
      </c>
      <c r="V51" t="s">
        <v>2172</v>
      </c>
      <c r="W51" t="s">
        <v>2173</v>
      </c>
      <c r="X51" t="s">
        <v>2167</v>
      </c>
      <c r="Y51" t="s">
        <v>2139</v>
      </c>
      <c r="Z51" t="s">
        <v>2168</v>
      </c>
      <c r="AA51">
        <v>12</v>
      </c>
      <c r="AB51" s="6" t="s">
        <v>748</v>
      </c>
      <c r="AC51" s="2" t="s">
        <v>229</v>
      </c>
      <c r="AF51" s="167" t="s">
        <v>1672</v>
      </c>
      <c r="AI51" s="6">
        <v>2</v>
      </c>
      <c r="AJ51" s="13" t="s">
        <v>1329</v>
      </c>
      <c r="AK51" s="58">
        <v>0.54166666666666696</v>
      </c>
      <c r="AL51" s="58" t="str">
        <f t="shared" si="0"/>
        <v>09:30 - 13:00</v>
      </c>
      <c r="AM51" s="151">
        <v>5</v>
      </c>
      <c r="AN51" s="95">
        <f t="shared" si="8"/>
        <v>453312</v>
      </c>
      <c r="AO51" s="94" t="b">
        <v>1</v>
      </c>
      <c r="AP51" s="34">
        <f t="shared" si="2"/>
        <v>1416.6</v>
      </c>
      <c r="AQ51" s="23">
        <f t="shared" si="3"/>
        <v>3</v>
      </c>
      <c r="AR51" s="35" t="s">
        <v>48</v>
      </c>
      <c r="AU51" s="46"/>
      <c r="AW51" s="63" t="str">
        <f t="shared" si="4"/>
        <v>10:35:51</v>
      </c>
      <c r="AX51" s="10"/>
      <c r="AY51" s="160">
        <v>1</v>
      </c>
      <c r="AZ51" s="10"/>
      <c r="BA51" s="104" t="str">
        <f t="shared" si="5"/>
        <v>ПРОЛЕТАРСКИЙ-ПР-Т-27</v>
      </c>
      <c r="BB51" s="87">
        <f>AP51*3.4+10*60</f>
        <v>5416.44</v>
      </c>
      <c r="BD51" s="123"/>
      <c r="BE51" s="117" t="s">
        <v>1315</v>
      </c>
      <c r="BF51" s="89" t="s">
        <v>1315</v>
      </c>
      <c r="BG51" s="89" t="s">
        <v>1315</v>
      </c>
      <c r="BH51" s="89" t="s">
        <v>1315</v>
      </c>
      <c r="BI51" s="89" t="s">
        <v>1315</v>
      </c>
      <c r="BJ51" s="89" t="s">
        <v>1315</v>
      </c>
      <c r="BK51" s="89" t="s">
        <v>1315</v>
      </c>
      <c r="BL51" s="1" t="s">
        <v>227</v>
      </c>
      <c r="BM51" s="132"/>
    </row>
    <row r="52" spans="1:65" ht="15" customHeight="1" x14ac:dyDescent="0.3">
      <c r="C52" s="1">
        <v>5</v>
      </c>
      <c r="D52" s="6">
        <v>11</v>
      </c>
      <c r="E52" s="6">
        <v>7011</v>
      </c>
      <c r="F52" s="1" t="s">
        <v>1367</v>
      </c>
      <c r="G52" s="8" t="s">
        <v>50</v>
      </c>
      <c r="H52" s="9">
        <v>35.06</v>
      </c>
      <c r="I52" s="9">
        <v>12.33</v>
      </c>
      <c r="J52" s="9" t="s">
        <v>1315</v>
      </c>
      <c r="K52" s="1" t="s">
        <v>1718</v>
      </c>
      <c r="M52" s="2" t="s">
        <v>2079</v>
      </c>
      <c r="N52" s="1">
        <v>1</v>
      </c>
      <c r="O52" s="1">
        <v>3</v>
      </c>
      <c r="P52" s="1" t="s">
        <v>51</v>
      </c>
      <c r="Q52" s="10" t="s">
        <v>216</v>
      </c>
      <c r="R52" t="s">
        <v>2169</v>
      </c>
      <c r="S52" t="s">
        <v>2170</v>
      </c>
      <c r="T52" t="s">
        <v>2171</v>
      </c>
      <c r="U52" t="s">
        <v>2097</v>
      </c>
      <c r="V52" t="s">
        <v>2172</v>
      </c>
      <c r="W52" t="s">
        <v>2173</v>
      </c>
      <c r="X52" t="s">
        <v>2167</v>
      </c>
      <c r="Y52" t="s">
        <v>2139</v>
      </c>
      <c r="Z52" t="s">
        <v>2168</v>
      </c>
      <c r="AA52">
        <v>12</v>
      </c>
      <c r="AB52" s="6" t="s">
        <v>743</v>
      </c>
      <c r="AC52" s="2" t="s">
        <v>217</v>
      </c>
      <c r="AF52" s="153" t="s">
        <v>1672</v>
      </c>
      <c r="AI52" s="6">
        <v>2</v>
      </c>
      <c r="AJ52" s="13" t="s">
        <v>1328</v>
      </c>
      <c r="AK52" s="58">
        <v>0.54166666666666696</v>
      </c>
      <c r="AL52" s="58" t="str">
        <f t="shared" si="0"/>
        <v>09:00 - 13:00</v>
      </c>
      <c r="AM52" s="151">
        <v>4</v>
      </c>
      <c r="AN52" s="95">
        <f t="shared" si="8"/>
        <v>300000</v>
      </c>
      <c r="AO52" s="94" t="b">
        <v>1</v>
      </c>
      <c r="AP52" s="34">
        <f t="shared" si="2"/>
        <v>947.80000000000007</v>
      </c>
      <c r="AQ52" s="23">
        <f t="shared" si="3"/>
        <v>2</v>
      </c>
      <c r="AR52" s="35" t="s">
        <v>48</v>
      </c>
      <c r="AU52" s="46"/>
      <c r="AW52" s="63" t="str">
        <f t="shared" si="4"/>
        <v>12:28:06</v>
      </c>
      <c r="AX52" s="10"/>
      <c r="AY52" s="160">
        <v>1</v>
      </c>
      <c r="AZ52" s="10"/>
      <c r="BA52" s="104" t="str">
        <f t="shared" si="5"/>
        <v>ЛЮБЛИНСКАЯ-147</v>
      </c>
      <c r="BB52" s="85">
        <f>AP52*3.3+10*60</f>
        <v>3727.7400000000002</v>
      </c>
      <c r="BD52" s="123"/>
      <c r="BE52" s="117" t="s">
        <v>1315</v>
      </c>
      <c r="BF52" s="89" t="s">
        <v>1315</v>
      </c>
      <c r="BG52" s="89" t="s">
        <v>1315</v>
      </c>
      <c r="BH52" s="89">
        <v>-32.333333333333329</v>
      </c>
      <c r="BI52" s="89" t="s">
        <v>1315</v>
      </c>
      <c r="BJ52" s="89">
        <v>-47.351999999999997</v>
      </c>
      <c r="BK52" s="89" t="s">
        <v>1315</v>
      </c>
      <c r="BL52" s="1" t="s">
        <v>215</v>
      </c>
    </row>
    <row r="53" spans="1:65" ht="15" customHeight="1" x14ac:dyDescent="0.3">
      <c r="C53" s="1">
        <v>530</v>
      </c>
      <c r="D53" s="6">
        <v>30</v>
      </c>
      <c r="E53" s="6">
        <v>7030</v>
      </c>
      <c r="F53" s="1" t="s">
        <v>1428</v>
      </c>
      <c r="G53" s="8" t="s">
        <v>50</v>
      </c>
      <c r="H53" s="9">
        <v>33.979999999999997</v>
      </c>
      <c r="I53" s="9">
        <v>5.82</v>
      </c>
      <c r="J53" s="9" t="s">
        <v>1315</v>
      </c>
      <c r="K53" s="1" t="s">
        <v>1718</v>
      </c>
      <c r="M53" s="2" t="s">
        <v>1879</v>
      </c>
      <c r="N53" s="1">
        <v>1</v>
      </c>
      <c r="O53" s="1">
        <v>4</v>
      </c>
      <c r="P53" s="1" t="s">
        <v>51</v>
      </c>
      <c r="Q53" s="10" t="s">
        <v>166</v>
      </c>
      <c r="R53" t="s">
        <v>2169</v>
      </c>
      <c r="S53" t="s">
        <v>2170</v>
      </c>
      <c r="T53" t="s">
        <v>2171</v>
      </c>
      <c r="U53" t="s">
        <v>2097</v>
      </c>
      <c r="V53" t="s">
        <v>2172</v>
      </c>
      <c r="W53" t="s">
        <v>2173</v>
      </c>
      <c r="X53" t="s">
        <v>2167</v>
      </c>
      <c r="Y53" t="s">
        <v>2139</v>
      </c>
      <c r="Z53" t="s">
        <v>2168</v>
      </c>
      <c r="AA53">
        <v>12</v>
      </c>
      <c r="AB53" s="6" t="s">
        <v>1131</v>
      </c>
      <c r="AC53" s="2" t="s">
        <v>167</v>
      </c>
      <c r="AF53" s="153" t="s">
        <v>1672</v>
      </c>
      <c r="AI53" s="6">
        <v>2</v>
      </c>
      <c r="AJ53" s="13" t="s">
        <v>1329</v>
      </c>
      <c r="AK53" s="142" t="str">
        <f>IF(AP53&gt;2000,"15:00",IF(AP53&lt;1000,"16:30","16:00"))</f>
        <v>16:30</v>
      </c>
      <c r="AL53" s="58" t="str">
        <f t="shared" si="0"/>
        <v>09:30 - 16:30</v>
      </c>
      <c r="AM53" s="151">
        <v>3</v>
      </c>
      <c r="AN53" s="95">
        <f t="shared" si="8"/>
        <v>300000</v>
      </c>
      <c r="AO53" s="94" t="b">
        <v>1</v>
      </c>
      <c r="AP53" s="34">
        <f t="shared" si="2"/>
        <v>795.99999999999989</v>
      </c>
      <c r="AQ53" s="23">
        <f t="shared" si="3"/>
        <v>2</v>
      </c>
      <c r="AR53" s="35" t="s">
        <v>48</v>
      </c>
      <c r="AW53" s="63" t="str">
        <f t="shared" si="4"/>
        <v>13:50:48</v>
      </c>
      <c r="AX53" s="10"/>
      <c r="AY53" s="160">
        <v>2</v>
      </c>
      <c r="AZ53" s="10"/>
      <c r="BA53" s="104" t="str">
        <f t="shared" si="5"/>
        <v>АВИАМОТОРНАЯ-51</v>
      </c>
      <c r="BB53" s="87">
        <f>AP53*3.5+10*60</f>
        <v>3385.9999999999995</v>
      </c>
      <c r="BD53" s="123"/>
      <c r="BE53" s="117" t="s">
        <v>1315</v>
      </c>
      <c r="BF53" s="89" t="s">
        <v>1315</v>
      </c>
      <c r="BG53" s="89" t="s">
        <v>1315</v>
      </c>
      <c r="BH53" s="89">
        <v>-49.44666666666668</v>
      </c>
      <c r="BI53" s="89" t="s">
        <v>1315</v>
      </c>
      <c r="BJ53" s="89" t="s">
        <v>1315</v>
      </c>
      <c r="BK53" s="89" t="s">
        <v>1315</v>
      </c>
      <c r="BL53" s="1" t="s">
        <v>165</v>
      </c>
    </row>
    <row r="54" spans="1:65" s="69" customFormat="1" ht="15" customHeight="1" x14ac:dyDescent="0.3">
      <c r="A54" s="1"/>
      <c r="B54" s="1"/>
      <c r="C54" s="1">
        <v>533</v>
      </c>
      <c r="D54" s="6">
        <v>785</v>
      </c>
      <c r="E54" s="6">
        <v>4785</v>
      </c>
      <c r="F54" s="36" t="s">
        <v>1602</v>
      </c>
      <c r="G54" s="8" t="s">
        <v>50</v>
      </c>
      <c r="H54" s="9">
        <v>6.38</v>
      </c>
      <c r="I54" s="9">
        <v>0.61</v>
      </c>
      <c r="J54" s="9" t="s">
        <v>1315</v>
      </c>
      <c r="K54" s="1" t="s">
        <v>1718</v>
      </c>
      <c r="L54" s="2"/>
      <c r="M54" s="2" t="s">
        <v>1916</v>
      </c>
      <c r="N54" s="1">
        <v>1</v>
      </c>
      <c r="O54" s="1">
        <v>5</v>
      </c>
      <c r="P54" s="1" t="s">
        <v>51</v>
      </c>
      <c r="Q54" s="10" t="s">
        <v>169</v>
      </c>
      <c r="R54" t="s">
        <v>2169</v>
      </c>
      <c r="S54" t="s">
        <v>2170</v>
      </c>
      <c r="T54" t="s">
        <v>2171</v>
      </c>
      <c r="U54" t="s">
        <v>2097</v>
      </c>
      <c r="V54" t="s">
        <v>2172</v>
      </c>
      <c r="W54" t="s">
        <v>2173</v>
      </c>
      <c r="X54" t="s">
        <v>2167</v>
      </c>
      <c r="Y54" t="s">
        <v>2139</v>
      </c>
      <c r="Z54" t="s">
        <v>2168</v>
      </c>
      <c r="AA54">
        <v>12</v>
      </c>
      <c r="AB54" s="6" t="s">
        <v>1136</v>
      </c>
      <c r="AC54" s="2" t="s">
        <v>170</v>
      </c>
      <c r="AD54" s="48"/>
      <c r="AE54" s="48"/>
      <c r="AF54" s="153" t="s">
        <v>1672</v>
      </c>
      <c r="AG54" s="5"/>
      <c r="AH54" s="5"/>
      <c r="AI54" s="6">
        <v>2</v>
      </c>
      <c r="AJ54" s="13" t="s">
        <v>1329</v>
      </c>
      <c r="AK54" s="142" t="str">
        <f>IF(AP54&gt;2000,"15:00",IF(AP54&lt;1000,"16:30","16:00"))</f>
        <v>16:30</v>
      </c>
      <c r="AL54" s="58" t="str">
        <f t="shared" si="0"/>
        <v>09:30 - 16:30</v>
      </c>
      <c r="AM54" s="151">
        <v>3</v>
      </c>
      <c r="AN54" s="95">
        <f t="shared" si="8"/>
        <v>300000</v>
      </c>
      <c r="AO54" s="94" t="b">
        <v>1</v>
      </c>
      <c r="AP54" s="34">
        <f t="shared" si="2"/>
        <v>139.79999999999998</v>
      </c>
      <c r="AQ54" s="23">
        <f t="shared" si="3"/>
        <v>1</v>
      </c>
      <c r="AR54" s="35" t="s">
        <v>48</v>
      </c>
      <c r="AS54" s="1"/>
      <c r="AT54" s="1"/>
      <c r="AU54" s="44"/>
      <c r="AV54" s="1"/>
      <c r="AW54" s="63" t="str">
        <f t="shared" si="4"/>
        <v>14:56:56</v>
      </c>
      <c r="AX54" s="10"/>
      <c r="AY54" s="160">
        <v>2</v>
      </c>
      <c r="AZ54" s="10"/>
      <c r="BA54" s="104" t="str">
        <f t="shared" si="5"/>
        <v>БУДЕННОГО-ПР-Т-51К5</v>
      </c>
      <c r="BB54" s="85">
        <f>AP54*3+10*60</f>
        <v>1019.4</v>
      </c>
      <c r="BC54" s="110"/>
      <c r="BD54" s="123"/>
      <c r="BE54" s="117" t="s">
        <v>1315</v>
      </c>
      <c r="BF54" s="89" t="s">
        <v>1315</v>
      </c>
      <c r="BG54" s="89" t="s">
        <v>1315</v>
      </c>
      <c r="BH54" s="89" t="s">
        <v>1315</v>
      </c>
      <c r="BI54" s="89" t="s">
        <v>1315</v>
      </c>
      <c r="BJ54" s="89" t="s">
        <v>1315</v>
      </c>
      <c r="BK54" s="89">
        <v>-13.226666666666667</v>
      </c>
      <c r="BL54" s="36" t="s">
        <v>168</v>
      </c>
      <c r="BM54" s="1"/>
    </row>
    <row r="55" spans="1:65" ht="15" customHeight="1" x14ac:dyDescent="0.3">
      <c r="C55" s="1">
        <v>543</v>
      </c>
      <c r="D55" s="6">
        <v>257177</v>
      </c>
      <c r="E55" s="6">
        <v>4177</v>
      </c>
      <c r="F55" s="54" t="s">
        <v>1605</v>
      </c>
      <c r="G55" s="8" t="s">
        <v>43</v>
      </c>
      <c r="H55" s="9">
        <v>17.130000000000003</v>
      </c>
      <c r="I55" s="9">
        <v>10.95</v>
      </c>
      <c r="J55" s="9" t="s">
        <v>1315</v>
      </c>
      <c r="K55" s="1" t="s">
        <v>1718</v>
      </c>
      <c r="L55" s="2" t="s">
        <v>44</v>
      </c>
      <c r="M55" s="2" t="s">
        <v>1883</v>
      </c>
      <c r="N55" s="1">
        <v>1</v>
      </c>
      <c r="O55" s="1">
        <v>6</v>
      </c>
      <c r="P55" s="1" t="s">
        <v>596</v>
      </c>
      <c r="Q55" s="10" t="s">
        <v>1230</v>
      </c>
      <c r="R55" t="s">
        <v>2169</v>
      </c>
      <c r="S55" t="s">
        <v>2170</v>
      </c>
      <c r="T55" t="s">
        <v>2171</v>
      </c>
      <c r="U55" t="s">
        <v>2097</v>
      </c>
      <c r="V55" t="s">
        <v>2172</v>
      </c>
      <c r="W55" t="s">
        <v>2173</v>
      </c>
      <c r="X55" t="s">
        <v>2167</v>
      </c>
      <c r="Y55" t="s">
        <v>2139</v>
      </c>
      <c r="Z55" t="s">
        <v>2168</v>
      </c>
      <c r="AA55">
        <v>12</v>
      </c>
      <c r="AB55" s="6" t="s">
        <v>1185</v>
      </c>
      <c r="AC55" s="2" t="s">
        <v>1229</v>
      </c>
      <c r="AF55" s="153" t="s">
        <v>1672</v>
      </c>
      <c r="AI55" s="6">
        <v>2</v>
      </c>
      <c r="AJ55" s="114" t="str">
        <f ca="1">IF((WEEKDAY(TODAY(),2))=6,"10:00","09:00")</f>
        <v>09:00</v>
      </c>
      <c r="AK55" s="142" t="str">
        <f>IF(AP55&gt;2000,"15:00",IF(AP55&lt;1000,"16:30","16:00"))</f>
        <v>16:30</v>
      </c>
      <c r="AL55" s="58" t="str">
        <f t="shared" ca="1" si="0"/>
        <v>09:00 - 16:30</v>
      </c>
      <c r="AM55" s="151">
        <v>3</v>
      </c>
      <c r="AN55" s="95">
        <f t="shared" si="8"/>
        <v>300000</v>
      </c>
      <c r="AO55" s="94" t="b">
        <v>1</v>
      </c>
      <c r="AP55" s="34">
        <f t="shared" si="2"/>
        <v>561.6</v>
      </c>
      <c r="AQ55" s="23">
        <f t="shared" si="3"/>
        <v>2</v>
      </c>
      <c r="AR55" s="35" t="s">
        <v>48</v>
      </c>
      <c r="AW55" s="63" t="str">
        <f t="shared" ca="1" si="4"/>
        <v>15:37:26</v>
      </c>
      <c r="AX55" s="10"/>
      <c r="AY55" s="160">
        <v>2</v>
      </c>
      <c r="AZ55" s="10"/>
      <c r="BA55" s="104" t="str">
        <f t="shared" si="5"/>
        <v>РЕУТОВ-РЕУТ-ОПОЛЧЕНЦЕВ-4</v>
      </c>
      <c r="BB55" s="85">
        <f>AP55*3.2+10*60</f>
        <v>2397.12</v>
      </c>
      <c r="BD55" s="123"/>
      <c r="BE55" s="117">
        <v>-9.0626666666666686</v>
      </c>
      <c r="BF55" s="89" t="s">
        <v>1315</v>
      </c>
      <c r="BG55" s="89" t="s">
        <v>1315</v>
      </c>
      <c r="BH55" s="89" t="s">
        <v>1315</v>
      </c>
      <c r="BI55" s="89" t="s">
        <v>1315</v>
      </c>
      <c r="BJ55" s="89">
        <v>-16.489333333333335</v>
      </c>
      <c r="BK55" s="89" t="s">
        <v>1315</v>
      </c>
      <c r="BL55" s="54" t="s">
        <v>1231</v>
      </c>
    </row>
    <row r="56" spans="1:65" ht="15" customHeight="1" x14ac:dyDescent="0.3">
      <c r="C56" s="1">
        <v>385</v>
      </c>
      <c r="D56" s="6">
        <v>50608</v>
      </c>
      <c r="E56" s="6">
        <v>7608</v>
      </c>
      <c r="F56" s="1" t="s">
        <v>1549</v>
      </c>
      <c r="G56" s="8" t="s">
        <v>43</v>
      </c>
      <c r="H56" s="9">
        <v>47.12</v>
      </c>
      <c r="I56" s="9">
        <v>16.52</v>
      </c>
      <c r="J56" s="179" t="s">
        <v>2091</v>
      </c>
      <c r="K56" s="1" t="s">
        <v>1716</v>
      </c>
      <c r="M56" s="2" t="s">
        <v>1328</v>
      </c>
      <c r="N56" s="1">
        <v>1</v>
      </c>
      <c r="O56" s="1">
        <v>1</v>
      </c>
      <c r="P56" s="1" t="s">
        <v>489</v>
      </c>
      <c r="Q56" s="10" t="s">
        <v>1193</v>
      </c>
      <c r="R56" t="s">
        <v>2174</v>
      </c>
      <c r="S56" t="s">
        <v>2175</v>
      </c>
      <c r="T56" t="s">
        <v>2176</v>
      </c>
      <c r="U56" t="s">
        <v>2105</v>
      </c>
      <c r="V56" t="s">
        <v>2177</v>
      </c>
      <c r="W56" t="s">
        <v>2178</v>
      </c>
      <c r="X56" t="s">
        <v>2167</v>
      </c>
      <c r="Y56" t="s">
        <v>2139</v>
      </c>
      <c r="Z56" t="s">
        <v>2168</v>
      </c>
      <c r="AA56">
        <v>10</v>
      </c>
      <c r="AB56" s="6" t="s">
        <v>914</v>
      </c>
      <c r="AC56" s="2" t="s">
        <v>490</v>
      </c>
      <c r="AF56" s="153" t="s">
        <v>1672</v>
      </c>
      <c r="AI56" s="6">
        <v>2</v>
      </c>
      <c r="AJ56" s="114" t="str">
        <f ca="1">IF((WEEKDAY(TODAY(),2))=6,"10:00","09:00")</f>
        <v>09:00</v>
      </c>
      <c r="AK56" s="142" t="str">
        <f>IF(AP56&gt;2000,"15:00",IF(AP56&lt;1000,"16:30","16:00"))</f>
        <v>16:00</v>
      </c>
      <c r="AL56" s="58" t="str">
        <f t="shared" ca="1" si="0"/>
        <v>09:00 - 16:00</v>
      </c>
      <c r="AM56" s="151">
        <v>3</v>
      </c>
      <c r="AN56" s="95">
        <f t="shared" si="8"/>
        <v>407296</v>
      </c>
      <c r="AO56" s="94" t="b">
        <v>1</v>
      </c>
      <c r="AP56" s="34">
        <f t="shared" si="2"/>
        <v>1272.8</v>
      </c>
      <c r="AQ56" s="23">
        <f t="shared" si="3"/>
        <v>3</v>
      </c>
      <c r="AR56" s="35" t="s">
        <v>48</v>
      </c>
      <c r="AW56" s="63" t="str">
        <f t="shared" ca="1" si="4"/>
        <v>09:00</v>
      </c>
      <c r="AX56" s="10"/>
      <c r="AY56" s="160">
        <v>2</v>
      </c>
      <c r="AZ56" s="10"/>
      <c r="BA56" s="104" t="str">
        <f t="shared" si="5"/>
        <v>ЩЕЛКОВО-ТАЛСИНСКАЯ-4А</v>
      </c>
      <c r="BB56" s="85">
        <f>AP56*3.6+10*60</f>
        <v>5182.08</v>
      </c>
      <c r="BD56" s="123"/>
      <c r="BE56" s="117" t="s">
        <v>1315</v>
      </c>
      <c r="BF56" s="89" t="s">
        <v>1315</v>
      </c>
      <c r="BG56" s="89" t="s">
        <v>1315</v>
      </c>
      <c r="BH56" s="89" t="s">
        <v>1315</v>
      </c>
      <c r="BI56" s="89">
        <v>-27.78799999999999</v>
      </c>
      <c r="BJ56" s="89" t="s">
        <v>1315</v>
      </c>
      <c r="BK56" s="89" t="s">
        <v>1315</v>
      </c>
      <c r="BL56" s="1" t="s">
        <v>488</v>
      </c>
    </row>
    <row r="57" spans="1:65" ht="15" customHeight="1" x14ac:dyDescent="0.3">
      <c r="C57" s="1">
        <v>386</v>
      </c>
      <c r="D57" s="6">
        <v>50743</v>
      </c>
      <c r="E57" s="6">
        <v>4743</v>
      </c>
      <c r="F57" s="1" t="s">
        <v>1550</v>
      </c>
      <c r="G57" s="8" t="s">
        <v>43</v>
      </c>
      <c r="H57" s="9">
        <v>66.89</v>
      </c>
      <c r="I57" s="9">
        <v>13.21</v>
      </c>
      <c r="J57" s="9" t="s">
        <v>1315</v>
      </c>
      <c r="K57" s="1" t="s">
        <v>1716</v>
      </c>
      <c r="M57" s="2" t="s">
        <v>1884</v>
      </c>
      <c r="N57" s="1">
        <v>1</v>
      </c>
      <c r="O57" s="1">
        <v>2</v>
      </c>
      <c r="P57" s="1" t="s">
        <v>489</v>
      </c>
      <c r="Q57" s="10" t="s">
        <v>492</v>
      </c>
      <c r="R57" t="s">
        <v>2174</v>
      </c>
      <c r="S57" t="s">
        <v>2175</v>
      </c>
      <c r="T57" t="s">
        <v>2176</v>
      </c>
      <c r="U57" t="s">
        <v>2105</v>
      </c>
      <c r="V57" t="s">
        <v>2177</v>
      </c>
      <c r="W57" t="s">
        <v>2178</v>
      </c>
      <c r="X57" t="s">
        <v>2167</v>
      </c>
      <c r="Y57" t="s">
        <v>2139</v>
      </c>
      <c r="Z57" t="s">
        <v>2168</v>
      </c>
      <c r="AA57">
        <v>10</v>
      </c>
      <c r="AB57" s="6" t="s">
        <v>915</v>
      </c>
      <c r="AC57" s="2" t="s">
        <v>493</v>
      </c>
      <c r="AF57" s="156" t="s">
        <v>1681</v>
      </c>
      <c r="AI57" s="6">
        <v>2</v>
      </c>
      <c r="AJ57" s="114" t="str">
        <f ca="1">IF((WEEKDAY(TODAY(),2))=6,"10:00","09:00")</f>
        <v>09:00</v>
      </c>
      <c r="AK57" s="142" t="str">
        <f>IF(AP57&gt;2000,"15:00",IF(AP57&lt;1000,"16:30","16:00"))</f>
        <v>16:00</v>
      </c>
      <c r="AL57" s="58" t="str">
        <f t="shared" ca="1" si="0"/>
        <v>09:00 - 16:00</v>
      </c>
      <c r="AM57" s="151">
        <v>3</v>
      </c>
      <c r="AN57" s="95">
        <f t="shared" si="8"/>
        <v>512640</v>
      </c>
      <c r="AO57" s="94" t="b">
        <v>1</v>
      </c>
      <c r="AP57" s="34">
        <f t="shared" si="2"/>
        <v>1602</v>
      </c>
      <c r="AQ57" s="23">
        <f t="shared" si="3"/>
        <v>3</v>
      </c>
      <c r="AR57" s="35" t="s">
        <v>48</v>
      </c>
      <c r="AW57" s="63" t="str">
        <f t="shared" ca="1" si="4"/>
        <v>10:33:52</v>
      </c>
      <c r="AX57" s="10"/>
      <c r="AY57" s="160">
        <v>2</v>
      </c>
      <c r="AZ57" s="10"/>
      <c r="BA57" s="104" t="str">
        <f t="shared" si="5"/>
        <v>ЩЕЛКОВО-ЛЕНИНА-ПЛ-1</v>
      </c>
      <c r="BB57" s="85">
        <f>AP57*3.7+10*60</f>
        <v>6527.4000000000005</v>
      </c>
      <c r="BD57" s="123"/>
      <c r="BE57" s="117" t="s">
        <v>1315</v>
      </c>
      <c r="BF57" s="89" t="s">
        <v>1315</v>
      </c>
      <c r="BG57" s="89" t="s">
        <v>1315</v>
      </c>
      <c r="BH57" s="89" t="s">
        <v>1315</v>
      </c>
      <c r="BI57" s="89" t="s">
        <v>1315</v>
      </c>
      <c r="BJ57" s="89" t="s">
        <v>1315</v>
      </c>
      <c r="BK57" s="89" t="s">
        <v>1315</v>
      </c>
      <c r="BL57" s="1" t="s">
        <v>491</v>
      </c>
    </row>
    <row r="58" spans="1:65" ht="15" customHeight="1" x14ac:dyDescent="0.3">
      <c r="C58" s="1">
        <v>387</v>
      </c>
      <c r="D58" s="6">
        <v>507016</v>
      </c>
      <c r="E58" s="6">
        <v>4778</v>
      </c>
      <c r="F58" s="37" t="s">
        <v>1551</v>
      </c>
      <c r="G58" s="8" t="s">
        <v>43</v>
      </c>
      <c r="H58" s="9">
        <v>77.900000000000006</v>
      </c>
      <c r="I58" s="9">
        <v>20.36</v>
      </c>
      <c r="J58" s="9" t="s">
        <v>1315</v>
      </c>
      <c r="K58" s="1" t="s">
        <v>1716</v>
      </c>
      <c r="M58" s="2" t="s">
        <v>1885</v>
      </c>
      <c r="N58" s="1">
        <v>1</v>
      </c>
      <c r="O58" s="1">
        <v>3</v>
      </c>
      <c r="P58" s="1" t="s">
        <v>489</v>
      </c>
      <c r="Q58" s="10" t="s">
        <v>495</v>
      </c>
      <c r="R58" t="s">
        <v>2174</v>
      </c>
      <c r="S58" t="s">
        <v>2175</v>
      </c>
      <c r="T58" t="s">
        <v>2176</v>
      </c>
      <c r="U58" t="s">
        <v>2105</v>
      </c>
      <c r="V58" t="s">
        <v>2177</v>
      </c>
      <c r="W58" t="s">
        <v>2178</v>
      </c>
      <c r="X58" t="s">
        <v>2167</v>
      </c>
      <c r="Y58" t="s">
        <v>2139</v>
      </c>
      <c r="Z58" t="s">
        <v>2168</v>
      </c>
      <c r="AA58">
        <v>10</v>
      </c>
      <c r="AB58" s="6" t="s">
        <v>916</v>
      </c>
      <c r="AC58" s="2" t="s">
        <v>496</v>
      </c>
      <c r="AF58" s="156" t="s">
        <v>1681</v>
      </c>
      <c r="AI58" s="6">
        <v>2</v>
      </c>
      <c r="AJ58" s="114" t="str">
        <f ca="1">IF((WEEKDAY(TODAY(),2))=6,"10:00","09:00")</f>
        <v>09:00</v>
      </c>
      <c r="AK58" s="58">
        <v>0.54166666666666696</v>
      </c>
      <c r="AL58" s="58" t="str">
        <f t="shared" ca="1" si="0"/>
        <v>09:00 - 13:00</v>
      </c>
      <c r="AM58" s="151">
        <v>3</v>
      </c>
      <c r="AN58" s="95">
        <f t="shared" si="8"/>
        <v>628864</v>
      </c>
      <c r="AO58" s="94" t="b">
        <v>1</v>
      </c>
      <c r="AP58" s="34">
        <f t="shared" si="2"/>
        <v>1965.2</v>
      </c>
      <c r="AQ58" s="23">
        <f t="shared" si="3"/>
        <v>4</v>
      </c>
      <c r="AR58" s="35" t="s">
        <v>48</v>
      </c>
      <c r="AW58" s="63" t="str">
        <f t="shared" ca="1" si="4"/>
        <v>12:26:45</v>
      </c>
      <c r="AX58" s="10"/>
      <c r="AY58" s="160">
        <v>1</v>
      </c>
      <c r="AZ58" s="10"/>
      <c r="BA58" s="104" t="str">
        <f t="shared" si="5"/>
        <v>ЩЕЛКОВО-ЦЕНТРАЛЬНАЯ-17</v>
      </c>
      <c r="BB58" s="87">
        <f>AP58*3.5+10*60</f>
        <v>7478.2</v>
      </c>
      <c r="BD58" s="123"/>
      <c r="BE58" s="117" t="s">
        <v>1315</v>
      </c>
      <c r="BF58" s="89" t="s">
        <v>1315</v>
      </c>
      <c r="BG58" s="89" t="s">
        <v>1315</v>
      </c>
      <c r="BH58" s="89" t="s">
        <v>1315</v>
      </c>
      <c r="BI58" s="89" t="s">
        <v>1315</v>
      </c>
      <c r="BJ58" s="89" t="s">
        <v>1315</v>
      </c>
      <c r="BK58" s="89" t="s">
        <v>1315</v>
      </c>
      <c r="BL58" s="37" t="s">
        <v>494</v>
      </c>
    </row>
    <row r="59" spans="1:65" ht="15" customHeight="1" x14ac:dyDescent="0.3">
      <c r="C59" s="1">
        <v>483</v>
      </c>
      <c r="D59" s="6">
        <v>7125</v>
      </c>
      <c r="E59" s="6">
        <v>4125</v>
      </c>
      <c r="F59" s="40" t="s">
        <v>1591</v>
      </c>
      <c r="G59" s="8" t="s">
        <v>43</v>
      </c>
      <c r="H59" s="9">
        <v>42.08</v>
      </c>
      <c r="I59" s="9">
        <v>13.63</v>
      </c>
      <c r="J59" s="9" t="s">
        <v>2092</v>
      </c>
      <c r="K59" s="1" t="s">
        <v>1722</v>
      </c>
      <c r="M59" s="2" t="s">
        <v>1329</v>
      </c>
      <c r="N59" s="1">
        <v>1</v>
      </c>
      <c r="O59" s="1">
        <v>1</v>
      </c>
      <c r="P59" s="1" t="s">
        <v>51</v>
      </c>
      <c r="Q59" s="57" t="s">
        <v>2093</v>
      </c>
      <c r="R59" t="s">
        <v>2141</v>
      </c>
      <c r="S59" t="s">
        <v>2142</v>
      </c>
      <c r="T59" t="s">
        <v>2143</v>
      </c>
      <c r="U59" t="s">
        <v>2144</v>
      </c>
      <c r="V59" t="s">
        <v>2145</v>
      </c>
      <c r="W59" t="s">
        <v>2146</v>
      </c>
      <c r="X59" t="s">
        <v>2147</v>
      </c>
      <c r="Y59" t="s">
        <v>2148</v>
      </c>
      <c r="Z59" t="s">
        <v>2149</v>
      </c>
      <c r="AA59">
        <v>12</v>
      </c>
      <c r="AB59" s="6" t="s">
        <v>1040</v>
      </c>
      <c r="AC59" s="2" t="s">
        <v>1080</v>
      </c>
      <c r="AF59" s="153" t="s">
        <v>1672</v>
      </c>
      <c r="AI59" s="6">
        <v>2</v>
      </c>
      <c r="AJ59" s="114" t="str">
        <f ca="1">IF((WEEKDAY(TODAY(),2))=6,"10:00","09:30")</f>
        <v>09:30</v>
      </c>
      <c r="AK59" s="58">
        <v>0.54166666666666696</v>
      </c>
      <c r="AL59" s="58" t="str">
        <f t="shared" ca="1" si="0"/>
        <v>09:30 - 13:00</v>
      </c>
      <c r="AM59" s="151">
        <v>5</v>
      </c>
      <c r="AN59" s="95">
        <f t="shared" si="8"/>
        <v>356543.99999999994</v>
      </c>
      <c r="AO59" s="94" t="b">
        <v>1</v>
      </c>
      <c r="AP59" s="34">
        <f t="shared" si="2"/>
        <v>1114.1999999999998</v>
      </c>
      <c r="AQ59" s="23">
        <f t="shared" si="3"/>
        <v>2</v>
      </c>
      <c r="AR59" s="35" t="s">
        <v>48</v>
      </c>
      <c r="AW59" s="63" t="str">
        <f t="shared" ca="1" si="4"/>
        <v>09:30</v>
      </c>
      <c r="AX59" s="10"/>
      <c r="AY59" s="160">
        <v>1</v>
      </c>
      <c r="AZ59" s="10"/>
      <c r="BA59" s="104" t="str">
        <f t="shared" si="5"/>
        <v>ШИШКИН-ЛЕС-15А</v>
      </c>
      <c r="BB59" s="85">
        <f>AP59*3+10*60</f>
        <v>3942.5999999999995</v>
      </c>
      <c r="BD59" s="123"/>
      <c r="BE59" s="117" t="s">
        <v>1315</v>
      </c>
      <c r="BF59" s="89" t="s">
        <v>1315</v>
      </c>
      <c r="BG59" s="89" t="s">
        <v>1315</v>
      </c>
      <c r="BH59" s="89" t="s">
        <v>1315</v>
      </c>
      <c r="BI59" s="89" t="s">
        <v>1315</v>
      </c>
      <c r="BJ59" s="89" t="s">
        <v>1315</v>
      </c>
      <c r="BK59" s="89" t="s">
        <v>1315</v>
      </c>
      <c r="BL59" s="40" t="s">
        <v>1079</v>
      </c>
    </row>
    <row r="60" spans="1:65" ht="15" customHeight="1" x14ac:dyDescent="0.3">
      <c r="C60" s="1">
        <v>67</v>
      </c>
      <c r="D60" s="6">
        <v>5084</v>
      </c>
      <c r="E60" s="6">
        <v>7084</v>
      </c>
      <c r="F60" s="1" t="s">
        <v>1430</v>
      </c>
      <c r="G60" s="8" t="s">
        <v>43</v>
      </c>
      <c r="H60" s="9">
        <v>52.74</v>
      </c>
      <c r="I60" s="9">
        <v>11.680000000000001</v>
      </c>
      <c r="J60" s="9" t="s">
        <v>1315</v>
      </c>
      <c r="K60" s="1" t="s">
        <v>1722</v>
      </c>
      <c r="L60" s="2">
        <v>2</v>
      </c>
      <c r="M60" s="2" t="s">
        <v>2048</v>
      </c>
      <c r="N60" s="1">
        <v>1</v>
      </c>
      <c r="O60" s="1">
        <v>2</v>
      </c>
      <c r="P60" s="1" t="s">
        <v>272</v>
      </c>
      <c r="Q60" s="10" t="s">
        <v>273</v>
      </c>
      <c r="R60" t="s">
        <v>2141</v>
      </c>
      <c r="S60" t="s">
        <v>2142</v>
      </c>
      <c r="T60" t="s">
        <v>2143</v>
      </c>
      <c r="U60" t="s">
        <v>2144</v>
      </c>
      <c r="V60" t="s">
        <v>2145</v>
      </c>
      <c r="W60" t="s">
        <v>2146</v>
      </c>
      <c r="X60" t="s">
        <v>2147</v>
      </c>
      <c r="Y60" t="s">
        <v>2148</v>
      </c>
      <c r="Z60" t="s">
        <v>2149</v>
      </c>
      <c r="AA60">
        <v>12</v>
      </c>
      <c r="AB60" s="6" t="s">
        <v>770</v>
      </c>
      <c r="AC60" s="2" t="s">
        <v>274</v>
      </c>
      <c r="AF60" s="153" t="s">
        <v>1677</v>
      </c>
      <c r="AI60" s="6">
        <v>2</v>
      </c>
      <c r="AJ60" s="114" t="str">
        <f ca="1">IF((WEEKDAY(TODAY(),2))=6,"10:00","09:00")</f>
        <v>09:00</v>
      </c>
      <c r="AK60" s="58">
        <v>0.54166666666666696</v>
      </c>
      <c r="AL60" s="58" t="str">
        <f t="shared" ca="1" si="0"/>
        <v>09:00 - 13:00</v>
      </c>
      <c r="AM60" s="151">
        <v>5</v>
      </c>
      <c r="AN60" s="95">
        <f t="shared" si="8"/>
        <v>412288</v>
      </c>
      <c r="AO60" s="94" t="b">
        <v>1</v>
      </c>
      <c r="AP60" s="34">
        <f t="shared" si="2"/>
        <v>1288.4000000000001</v>
      </c>
      <c r="AQ60" s="23">
        <f t="shared" si="3"/>
        <v>3</v>
      </c>
      <c r="AR60" s="35" t="s">
        <v>48</v>
      </c>
      <c r="AU60" s="46"/>
      <c r="AW60" s="63" t="str">
        <f t="shared" ca="1" si="4"/>
        <v>11:22:29</v>
      </c>
      <c r="AX60" s="10"/>
      <c r="AY60" s="160">
        <v>1</v>
      </c>
      <c r="AZ60" s="10"/>
      <c r="BA60" s="104" t="str">
        <f t="shared" si="5"/>
        <v>ПОДОЛЬСК-ЛЕНИНА-ПР-Т-111</v>
      </c>
      <c r="BB60" s="52">
        <f>AP60*3.7+10*60</f>
        <v>5367.0800000000008</v>
      </c>
      <c r="BD60" s="123"/>
      <c r="BE60" s="117" t="s">
        <v>1315</v>
      </c>
      <c r="BF60" s="89">
        <v>-33.462000000000018</v>
      </c>
      <c r="BG60" s="89" t="s">
        <v>1315</v>
      </c>
      <c r="BH60" s="89" t="s">
        <v>1315</v>
      </c>
      <c r="BI60" s="89" t="s">
        <v>1315</v>
      </c>
      <c r="BJ60" s="89" t="s">
        <v>1315</v>
      </c>
      <c r="BK60" s="89" t="s">
        <v>1315</v>
      </c>
      <c r="BL60" s="1" t="s">
        <v>271</v>
      </c>
    </row>
    <row r="61" spans="1:65" ht="15" customHeight="1" x14ac:dyDescent="0.3">
      <c r="C61" s="1">
        <v>82</v>
      </c>
      <c r="D61" s="6">
        <v>25990</v>
      </c>
      <c r="E61" s="6">
        <v>4990</v>
      </c>
      <c r="F61" s="36" t="s">
        <v>1397</v>
      </c>
      <c r="G61" s="8" t="s">
        <v>43</v>
      </c>
      <c r="H61" s="9">
        <v>32.21</v>
      </c>
      <c r="I61" s="9">
        <v>3.69</v>
      </c>
      <c r="J61" s="9" t="s">
        <v>1315</v>
      </c>
      <c r="K61" s="1" t="s">
        <v>1722</v>
      </c>
      <c r="M61" s="2" t="s">
        <v>1895</v>
      </c>
      <c r="N61" s="1">
        <v>1</v>
      </c>
      <c r="O61" s="1">
        <v>3</v>
      </c>
      <c r="P61" s="1" t="s">
        <v>72</v>
      </c>
      <c r="Q61" s="10" t="s">
        <v>286</v>
      </c>
      <c r="R61" t="s">
        <v>2141</v>
      </c>
      <c r="S61" t="s">
        <v>2142</v>
      </c>
      <c r="T61" t="s">
        <v>2143</v>
      </c>
      <c r="U61" t="s">
        <v>2144</v>
      </c>
      <c r="V61" t="s">
        <v>2145</v>
      </c>
      <c r="W61" t="s">
        <v>2146</v>
      </c>
      <c r="X61" t="s">
        <v>2147</v>
      </c>
      <c r="Y61" t="s">
        <v>2148</v>
      </c>
      <c r="Z61" t="s">
        <v>2149</v>
      </c>
      <c r="AA61">
        <v>12</v>
      </c>
      <c r="AB61" s="6" t="s">
        <v>776</v>
      </c>
      <c r="AC61" s="2" t="s">
        <v>287</v>
      </c>
      <c r="AF61" s="167" t="s">
        <v>1672</v>
      </c>
      <c r="AI61" s="6">
        <v>2</v>
      </c>
      <c r="AJ61" s="114" t="str">
        <f ca="1">IF((WEEKDAY(TODAY(),2))=6,"10:00","09:00")</f>
        <v>09:00</v>
      </c>
      <c r="AK61" s="58">
        <v>0.58333333333333337</v>
      </c>
      <c r="AL61" s="58" t="str">
        <f t="shared" ca="1" si="0"/>
        <v>09:00 - 14:00</v>
      </c>
      <c r="AM61" s="151">
        <v>5</v>
      </c>
      <c r="AN61" s="95">
        <f t="shared" si="8"/>
        <v>300000</v>
      </c>
      <c r="AO61" s="94" t="b">
        <v>1</v>
      </c>
      <c r="AP61" s="34">
        <f t="shared" si="2"/>
        <v>718</v>
      </c>
      <c r="AQ61" s="23">
        <f t="shared" si="3"/>
        <v>2</v>
      </c>
      <c r="AR61" s="35" t="s">
        <v>48</v>
      </c>
      <c r="AU61" s="46"/>
      <c r="AW61" s="63" t="str">
        <f t="shared" ca="1" si="4"/>
        <v>13:15:22</v>
      </c>
      <c r="AX61" s="10"/>
      <c r="AY61" s="160">
        <v>2</v>
      </c>
      <c r="AZ61" s="10"/>
      <c r="BA61" s="104" t="str">
        <f t="shared" si="5"/>
        <v>ДРОЖЖИНО-ЮЖНАЯ-7</v>
      </c>
      <c r="BB61" s="85">
        <f>AP61*4+10*60</f>
        <v>3472</v>
      </c>
      <c r="BD61" s="123"/>
      <c r="BE61" s="117" t="s">
        <v>1315</v>
      </c>
      <c r="BF61" s="89">
        <v>-14.223999999999997</v>
      </c>
      <c r="BG61" s="89" t="s">
        <v>1315</v>
      </c>
      <c r="BH61" s="89" t="s">
        <v>1315</v>
      </c>
      <c r="BI61" s="89" t="s">
        <v>1315</v>
      </c>
      <c r="BJ61" s="89" t="s">
        <v>1315</v>
      </c>
      <c r="BK61" s="89">
        <v>-41.86</v>
      </c>
      <c r="BL61" s="36" t="s">
        <v>285</v>
      </c>
    </row>
    <row r="62" spans="1:65" ht="15" customHeight="1" x14ac:dyDescent="0.3">
      <c r="C62" s="1">
        <v>84</v>
      </c>
      <c r="D62" s="6">
        <v>257151</v>
      </c>
      <c r="E62" s="6">
        <v>4151</v>
      </c>
      <c r="F62" s="40" t="s">
        <v>1399</v>
      </c>
      <c r="G62" s="8" t="s">
        <v>43</v>
      </c>
      <c r="H62" s="9">
        <v>47.120000000000005</v>
      </c>
      <c r="I62" s="9">
        <v>24.85</v>
      </c>
      <c r="J62" s="9" t="s">
        <v>1315</v>
      </c>
      <c r="K62" s="1" t="s">
        <v>1722</v>
      </c>
      <c r="M62" s="2" t="s">
        <v>1896</v>
      </c>
      <c r="N62" s="1">
        <v>1</v>
      </c>
      <c r="O62" s="1">
        <v>4</v>
      </c>
      <c r="P62" s="1" t="s">
        <v>72</v>
      </c>
      <c r="Q62" s="10" t="s">
        <v>1062</v>
      </c>
      <c r="R62" t="s">
        <v>2141</v>
      </c>
      <c r="S62" t="s">
        <v>2142</v>
      </c>
      <c r="T62" t="s">
        <v>2143</v>
      </c>
      <c r="U62" t="s">
        <v>2144</v>
      </c>
      <c r="V62" t="s">
        <v>2145</v>
      </c>
      <c r="W62" t="s">
        <v>2146</v>
      </c>
      <c r="X62" t="s">
        <v>2147</v>
      </c>
      <c r="Y62" t="s">
        <v>2148</v>
      </c>
      <c r="Z62" t="s">
        <v>2149</v>
      </c>
      <c r="AA62">
        <v>12</v>
      </c>
      <c r="AB62" s="6" t="s">
        <v>778</v>
      </c>
      <c r="AC62" s="2" t="s">
        <v>1063</v>
      </c>
      <c r="AF62" s="153" t="s">
        <v>1672</v>
      </c>
      <c r="AI62" s="6">
        <v>2</v>
      </c>
      <c r="AJ62" s="114" t="str">
        <f ca="1">IF((WEEKDAY(TODAY(),2))=6,"10:00","09:30")</f>
        <v>09:30</v>
      </c>
      <c r="AK62" s="142" t="str">
        <f>IF(AP62&gt;2000,"15:00",IF(AP62&lt;1000,"16:30","16:00"))</f>
        <v>16:00</v>
      </c>
      <c r="AL62" s="58" t="str">
        <f t="shared" ca="1" si="0"/>
        <v>09:30 - 16:00</v>
      </c>
      <c r="AM62" s="151">
        <v>5</v>
      </c>
      <c r="AN62" s="95">
        <f t="shared" si="8"/>
        <v>460608</v>
      </c>
      <c r="AO62" s="94" t="b">
        <v>1</v>
      </c>
      <c r="AP62" s="34">
        <f t="shared" si="2"/>
        <v>1439.4</v>
      </c>
      <c r="AQ62" s="23">
        <f t="shared" si="3"/>
        <v>3</v>
      </c>
      <c r="AR62" s="35" t="s">
        <v>48</v>
      </c>
      <c r="AU62" s="46"/>
      <c r="AW62" s="63" t="str">
        <f t="shared" ca="1" si="4"/>
        <v>14:16:15</v>
      </c>
      <c r="AX62" s="10"/>
      <c r="AY62" s="160">
        <v>2</v>
      </c>
      <c r="AZ62" s="10"/>
      <c r="BA62" s="104" t="str">
        <f t="shared" si="5"/>
        <v>ДРОЖЖИНО-НОВОЕ-Ш-2К2</v>
      </c>
      <c r="BB62" s="87">
        <f>AP62*3.5+10*60</f>
        <v>5637.9000000000005</v>
      </c>
      <c r="BD62" s="123"/>
      <c r="BE62" s="117" t="s">
        <v>1315</v>
      </c>
      <c r="BF62" s="89">
        <v>39.963333333333324</v>
      </c>
      <c r="BG62" s="89">
        <v>-18.953333333333326</v>
      </c>
      <c r="BH62" s="89" t="s">
        <v>1315</v>
      </c>
      <c r="BI62" s="89" t="s">
        <v>1315</v>
      </c>
      <c r="BJ62" s="89" t="s">
        <v>1315</v>
      </c>
      <c r="BK62" s="89" t="s">
        <v>1315</v>
      </c>
      <c r="BL62" s="40" t="s">
        <v>1066</v>
      </c>
    </row>
    <row r="63" spans="1:65" ht="15" customHeight="1" x14ac:dyDescent="0.3">
      <c r="C63" s="1">
        <v>58</v>
      </c>
      <c r="D63" s="6">
        <v>7054</v>
      </c>
      <c r="E63" s="6">
        <v>4054</v>
      </c>
      <c r="F63" s="37" t="s">
        <v>1390</v>
      </c>
      <c r="G63" s="8" t="s">
        <v>50</v>
      </c>
      <c r="H63" s="9">
        <v>9.6900000000000013</v>
      </c>
      <c r="I63" s="9">
        <v>2.0099999999999998</v>
      </c>
      <c r="J63" s="9" t="s">
        <v>1315</v>
      </c>
      <c r="K63" s="1" t="s">
        <v>1722</v>
      </c>
      <c r="M63" s="2" t="s">
        <v>1891</v>
      </c>
      <c r="N63" s="1">
        <v>1</v>
      </c>
      <c r="O63" s="1">
        <v>5</v>
      </c>
      <c r="P63" s="1" t="s">
        <v>51</v>
      </c>
      <c r="Q63" s="10" t="s">
        <v>730</v>
      </c>
      <c r="R63" t="s">
        <v>2141</v>
      </c>
      <c r="S63" t="s">
        <v>2142</v>
      </c>
      <c r="T63" t="s">
        <v>2143</v>
      </c>
      <c r="U63" t="s">
        <v>2144</v>
      </c>
      <c r="V63" t="s">
        <v>2145</v>
      </c>
      <c r="W63" t="s">
        <v>2146</v>
      </c>
      <c r="X63" t="s">
        <v>2147</v>
      </c>
      <c r="Y63" t="s">
        <v>2148</v>
      </c>
      <c r="Z63" t="s">
        <v>2149</v>
      </c>
      <c r="AA63">
        <v>12</v>
      </c>
      <c r="AB63" s="6" t="s">
        <v>766</v>
      </c>
      <c r="AC63" s="10" t="s">
        <v>731</v>
      </c>
      <c r="AF63" s="153" t="s">
        <v>1672</v>
      </c>
      <c r="AI63" s="6">
        <v>2</v>
      </c>
      <c r="AJ63" s="13" t="s">
        <v>1329</v>
      </c>
      <c r="AK63" s="162">
        <v>0.75</v>
      </c>
      <c r="AL63" s="58" t="str">
        <f t="shared" si="0"/>
        <v>09:30 - 18:00</v>
      </c>
      <c r="AM63" s="151">
        <v>5</v>
      </c>
      <c r="AN63" s="95">
        <f t="shared" si="8"/>
        <v>300000</v>
      </c>
      <c r="AO63" s="94" t="b">
        <v>1</v>
      </c>
      <c r="AP63" s="34">
        <f t="shared" si="2"/>
        <v>234</v>
      </c>
      <c r="AQ63" s="23">
        <f t="shared" si="3"/>
        <v>1</v>
      </c>
      <c r="AR63" s="35" t="s">
        <v>48</v>
      </c>
      <c r="AU63" s="46"/>
      <c r="AW63" s="63" t="str">
        <f t="shared" si="4"/>
        <v>16:09:57</v>
      </c>
      <c r="AX63" s="10"/>
      <c r="AY63" s="160">
        <v>3</v>
      </c>
      <c r="AZ63" s="10"/>
      <c r="BA63" s="104" t="str">
        <f t="shared" si="5"/>
        <v>ВАРШАВСКОЕ-Ш-141К11</v>
      </c>
      <c r="BB63" s="85">
        <f>AP63*3+10*60</f>
        <v>1302</v>
      </c>
      <c r="BD63" s="123"/>
      <c r="BE63" s="117" t="s">
        <v>1315</v>
      </c>
      <c r="BF63" s="89" t="s">
        <v>1315</v>
      </c>
      <c r="BG63" s="89" t="s">
        <v>1315</v>
      </c>
      <c r="BH63" s="89" t="s">
        <v>1315</v>
      </c>
      <c r="BI63" s="89">
        <v>-1.913333333333334</v>
      </c>
      <c r="BJ63" s="89" t="s">
        <v>1315</v>
      </c>
      <c r="BK63" s="89">
        <v>-17.236666666666672</v>
      </c>
      <c r="BL63" s="37" t="s">
        <v>729</v>
      </c>
    </row>
    <row r="64" spans="1:65" ht="15" customHeight="1" x14ac:dyDescent="0.3">
      <c r="C64" s="1">
        <v>59</v>
      </c>
      <c r="D64" s="6">
        <v>960</v>
      </c>
      <c r="E64" s="6">
        <v>4960</v>
      </c>
      <c r="F64" s="36" t="s">
        <v>1391</v>
      </c>
      <c r="G64" s="8" t="s">
        <v>50</v>
      </c>
      <c r="H64" s="9">
        <v>5.08</v>
      </c>
      <c r="I64" s="9">
        <v>2.85</v>
      </c>
      <c r="J64" s="9" t="s">
        <v>1315</v>
      </c>
      <c r="K64" s="1" t="s">
        <v>1722</v>
      </c>
      <c r="M64" s="2" t="s">
        <v>1888</v>
      </c>
      <c r="N64" s="1">
        <v>1</v>
      </c>
      <c r="O64" s="1">
        <v>6</v>
      </c>
      <c r="P64" s="1" t="s">
        <v>51</v>
      </c>
      <c r="Q64" s="10" t="s">
        <v>267</v>
      </c>
      <c r="R64" t="s">
        <v>2141</v>
      </c>
      <c r="S64" t="s">
        <v>2142</v>
      </c>
      <c r="T64" t="s">
        <v>2143</v>
      </c>
      <c r="U64" t="s">
        <v>2144</v>
      </c>
      <c r="V64" t="s">
        <v>2145</v>
      </c>
      <c r="W64" t="s">
        <v>2146</v>
      </c>
      <c r="X64" t="s">
        <v>2147</v>
      </c>
      <c r="Y64" t="s">
        <v>2148</v>
      </c>
      <c r="Z64" t="s">
        <v>2149</v>
      </c>
      <c r="AA64">
        <v>12</v>
      </c>
      <c r="AB64" s="6" t="s">
        <v>767</v>
      </c>
      <c r="AC64" s="2" t="s">
        <v>268</v>
      </c>
      <c r="AF64" s="153" t="s">
        <v>1672</v>
      </c>
      <c r="AI64" s="6">
        <v>2</v>
      </c>
      <c r="AJ64" s="13" t="s">
        <v>1328</v>
      </c>
      <c r="AK64" s="162">
        <v>0.75</v>
      </c>
      <c r="AL64" s="58" t="str">
        <f t="shared" si="0"/>
        <v>09:00 - 18:00</v>
      </c>
      <c r="AM64" s="151">
        <v>5</v>
      </c>
      <c r="AN64" s="95">
        <f t="shared" si="8"/>
        <v>300000</v>
      </c>
      <c r="AO64" s="94" t="b">
        <v>1</v>
      </c>
      <c r="AP64" s="34">
        <f t="shared" si="2"/>
        <v>158.6</v>
      </c>
      <c r="AQ64" s="23">
        <f t="shared" si="3"/>
        <v>1</v>
      </c>
      <c r="AR64" s="35" t="s">
        <v>48</v>
      </c>
      <c r="AU64" s="46"/>
      <c r="AW64" s="63" t="str">
        <f t="shared" si="4"/>
        <v>16:49:49</v>
      </c>
      <c r="AX64" s="10"/>
      <c r="AY64" s="160">
        <v>3</v>
      </c>
      <c r="AZ64" s="10"/>
      <c r="BA64" s="104" t="str">
        <f t="shared" si="5"/>
        <v>ВАРШАВСКОЕ-Ш-168</v>
      </c>
      <c r="BB64" s="87">
        <f>AP64*3.5+10*60</f>
        <v>1155.0999999999999</v>
      </c>
      <c r="BD64" s="123"/>
      <c r="BE64" s="117" t="s">
        <v>1315</v>
      </c>
      <c r="BF64" s="89" t="s">
        <v>1315</v>
      </c>
      <c r="BG64" s="89" t="s">
        <v>1315</v>
      </c>
      <c r="BH64" s="89" t="s">
        <v>1315</v>
      </c>
      <c r="BI64" s="89">
        <v>-10.361666666666665</v>
      </c>
      <c r="BJ64" s="89" t="s">
        <v>1315</v>
      </c>
      <c r="BK64" s="89" t="s">
        <v>1315</v>
      </c>
      <c r="BL64" s="36" t="s">
        <v>266</v>
      </c>
    </row>
    <row r="65" spans="1:65" ht="15" customHeight="1" x14ac:dyDescent="0.3">
      <c r="C65" s="1">
        <v>55</v>
      </c>
      <c r="D65" s="6">
        <v>8</v>
      </c>
      <c r="E65" s="6">
        <v>7008</v>
      </c>
      <c r="F65" s="1" t="s">
        <v>1387</v>
      </c>
      <c r="G65" s="8" t="s">
        <v>50</v>
      </c>
      <c r="H65" s="9">
        <v>61.290000000000006</v>
      </c>
      <c r="I65" s="9">
        <v>17.100000000000001</v>
      </c>
      <c r="J65" s="9" t="s">
        <v>1785</v>
      </c>
      <c r="K65" s="1" t="s">
        <v>1723</v>
      </c>
      <c r="M65" s="2" t="s">
        <v>1328</v>
      </c>
      <c r="N65" s="1">
        <v>1</v>
      </c>
      <c r="O65" s="1">
        <v>1</v>
      </c>
      <c r="P65" s="1" t="s">
        <v>51</v>
      </c>
      <c r="Q65" s="10" t="s">
        <v>261</v>
      </c>
      <c r="R65" t="s">
        <v>2150</v>
      </c>
      <c r="S65" t="s">
        <v>2151</v>
      </c>
      <c r="T65" t="s">
        <v>2152</v>
      </c>
      <c r="U65" t="s">
        <v>2153</v>
      </c>
      <c r="V65" t="s">
        <v>2154</v>
      </c>
      <c r="W65" t="s">
        <v>2155</v>
      </c>
      <c r="X65" t="s">
        <v>2147</v>
      </c>
      <c r="Y65" t="s">
        <v>2148</v>
      </c>
      <c r="Z65" t="s">
        <v>2149</v>
      </c>
      <c r="AA65">
        <v>12</v>
      </c>
      <c r="AB65" s="6" t="s">
        <v>763</v>
      </c>
      <c r="AC65" s="2" t="s">
        <v>262</v>
      </c>
      <c r="AF65" s="153" t="s">
        <v>1672</v>
      </c>
      <c r="AI65" s="6">
        <v>1</v>
      </c>
      <c r="AJ65" s="13" t="s">
        <v>1328</v>
      </c>
      <c r="AK65" s="58">
        <v>0.5</v>
      </c>
      <c r="AL65" s="58" t="str">
        <f t="shared" si="0"/>
        <v>09:00 - 12:00</v>
      </c>
      <c r="AM65" s="151">
        <v>5</v>
      </c>
      <c r="AN65" s="95">
        <f t="shared" si="8"/>
        <v>501696.00000000006</v>
      </c>
      <c r="AO65" s="94" t="b">
        <v>1</v>
      </c>
      <c r="AP65" s="34">
        <f t="shared" si="2"/>
        <v>1567.8000000000002</v>
      </c>
      <c r="AQ65" s="23">
        <f t="shared" si="3"/>
        <v>3</v>
      </c>
      <c r="AR65" s="35" t="s">
        <v>48</v>
      </c>
      <c r="AU65" s="46"/>
      <c r="AW65" s="63" t="str">
        <f t="shared" si="4"/>
        <v>09:00</v>
      </c>
      <c r="AX65" s="10"/>
      <c r="AY65" s="160">
        <v>1</v>
      </c>
      <c r="AZ65" s="10"/>
      <c r="BA65" s="104" t="str">
        <f t="shared" si="5"/>
        <v>ЧЕРТАНОВСКАЯ-1вК1</v>
      </c>
      <c r="BB65" s="85">
        <f>AP65*3.5+10*60</f>
        <v>6087.3000000000011</v>
      </c>
      <c r="BD65" s="123"/>
      <c r="BE65" s="117" t="s">
        <v>1315</v>
      </c>
      <c r="BF65" s="89" t="s">
        <v>1315</v>
      </c>
      <c r="BG65" s="89">
        <v>-12.818333333333328</v>
      </c>
      <c r="BH65" s="89" t="s">
        <v>1315</v>
      </c>
      <c r="BI65" s="89" t="s">
        <v>1315</v>
      </c>
      <c r="BJ65" s="89" t="s">
        <v>1315</v>
      </c>
      <c r="BK65" s="89" t="s">
        <v>1315</v>
      </c>
      <c r="BL65" s="1" t="s">
        <v>260</v>
      </c>
    </row>
    <row r="66" spans="1:65" ht="15" customHeight="1" x14ac:dyDescent="0.3">
      <c r="C66" s="1">
        <v>60</v>
      </c>
      <c r="D66" s="6">
        <v>12</v>
      </c>
      <c r="E66" s="6">
        <v>7012</v>
      </c>
      <c r="F66" s="1" t="s">
        <v>1392</v>
      </c>
      <c r="G66" s="8" t="s">
        <v>50</v>
      </c>
      <c r="H66" s="9">
        <v>35.86</v>
      </c>
      <c r="I66" s="9">
        <v>17.010000000000002</v>
      </c>
      <c r="J66" s="9" t="s">
        <v>1315</v>
      </c>
      <c r="K66" s="1" t="s">
        <v>1723</v>
      </c>
      <c r="M66" s="2" t="s">
        <v>1889</v>
      </c>
      <c r="N66" s="1">
        <v>1</v>
      </c>
      <c r="O66" s="1">
        <v>2</v>
      </c>
      <c r="P66" s="1" t="s">
        <v>51</v>
      </c>
      <c r="Q66" s="10" t="s">
        <v>1218</v>
      </c>
      <c r="R66" t="s">
        <v>2150</v>
      </c>
      <c r="S66" t="s">
        <v>2151</v>
      </c>
      <c r="T66" t="s">
        <v>2152</v>
      </c>
      <c r="U66" t="s">
        <v>2153</v>
      </c>
      <c r="V66" t="s">
        <v>2154</v>
      </c>
      <c r="W66" t="s">
        <v>2155</v>
      </c>
      <c r="X66" t="s">
        <v>2147</v>
      </c>
      <c r="Y66" t="s">
        <v>2148</v>
      </c>
      <c r="Z66" t="s">
        <v>2149</v>
      </c>
      <c r="AA66">
        <v>12</v>
      </c>
      <c r="AB66" s="6" t="s">
        <v>768</v>
      </c>
      <c r="AC66" s="2" t="s">
        <v>270</v>
      </c>
      <c r="AF66" s="153" t="s">
        <v>1672</v>
      </c>
      <c r="AI66" s="6">
        <v>2</v>
      </c>
      <c r="AJ66" s="13" t="s">
        <v>1328</v>
      </c>
      <c r="AK66" s="58">
        <v>0.54166666666666696</v>
      </c>
      <c r="AL66" s="58" t="str">
        <f t="shared" si="0"/>
        <v>09:00 - 13:00</v>
      </c>
      <c r="AM66" s="151">
        <v>5</v>
      </c>
      <c r="AN66" s="95">
        <f t="shared" si="8"/>
        <v>338368</v>
      </c>
      <c r="AO66" s="94" t="b">
        <v>1</v>
      </c>
      <c r="AP66" s="34">
        <f t="shared" si="2"/>
        <v>1057.4000000000001</v>
      </c>
      <c r="AQ66" s="23">
        <f t="shared" si="3"/>
        <v>2</v>
      </c>
      <c r="AR66" s="35" t="s">
        <v>48</v>
      </c>
      <c r="AU66" s="46"/>
      <c r="AW66" s="63" t="str">
        <f t="shared" si="4"/>
        <v>11:02:11</v>
      </c>
      <c r="AX66" s="10"/>
      <c r="AY66" s="160">
        <v>1</v>
      </c>
      <c r="AZ66" s="10"/>
      <c r="BA66" s="104" t="str">
        <f t="shared" si="5"/>
        <v>ДМИТР-ДОНСКОГО-Б-Р-16</v>
      </c>
      <c r="BB66" s="85">
        <f>AP66*2.7+10*60</f>
        <v>3454.9800000000005</v>
      </c>
      <c r="BD66" s="123"/>
      <c r="BE66" s="117" t="s">
        <v>1315</v>
      </c>
      <c r="BF66" s="89" t="s">
        <v>1315</v>
      </c>
      <c r="BG66" s="89">
        <v>-18.367000000000012</v>
      </c>
      <c r="BH66" s="89">
        <v>25.864333333333335</v>
      </c>
      <c r="BI66" s="89" t="s">
        <v>1315</v>
      </c>
      <c r="BJ66" s="89">
        <v>-2.557666666666691</v>
      </c>
      <c r="BK66" s="89" t="s">
        <v>1315</v>
      </c>
      <c r="BL66" s="1" t="s">
        <v>269</v>
      </c>
    </row>
    <row r="67" spans="1:65" ht="15" customHeight="1" x14ac:dyDescent="0.3">
      <c r="C67" s="1">
        <v>90</v>
      </c>
      <c r="D67" s="6">
        <v>507005</v>
      </c>
      <c r="E67" s="6">
        <v>4005</v>
      </c>
      <c r="F67" s="36" t="s">
        <v>1403</v>
      </c>
      <c r="G67" s="8" t="s">
        <v>43</v>
      </c>
      <c r="H67" s="9">
        <v>59.870000000000005</v>
      </c>
      <c r="I67" s="9">
        <v>12.73</v>
      </c>
      <c r="J67" s="9" t="s">
        <v>1315</v>
      </c>
      <c r="K67" s="1" t="s">
        <v>1723</v>
      </c>
      <c r="M67" s="2" t="s">
        <v>1894</v>
      </c>
      <c r="N67" s="1">
        <v>1</v>
      </c>
      <c r="O67" s="1">
        <v>3</v>
      </c>
      <c r="P67" s="1" t="s">
        <v>72</v>
      </c>
      <c r="Q67" s="10" t="s">
        <v>1227</v>
      </c>
      <c r="R67" t="s">
        <v>2150</v>
      </c>
      <c r="S67" t="s">
        <v>2151</v>
      </c>
      <c r="T67" t="s">
        <v>2152</v>
      </c>
      <c r="U67" t="s">
        <v>2153</v>
      </c>
      <c r="V67" t="s">
        <v>2154</v>
      </c>
      <c r="W67" t="s">
        <v>2155</v>
      </c>
      <c r="X67" t="s">
        <v>2147</v>
      </c>
      <c r="Y67" t="s">
        <v>2148</v>
      </c>
      <c r="Z67" t="s">
        <v>2149</v>
      </c>
      <c r="AA67">
        <v>12</v>
      </c>
      <c r="AB67" s="6" t="s">
        <v>782</v>
      </c>
      <c r="AC67" s="10" t="s">
        <v>719</v>
      </c>
      <c r="AF67" s="153" t="s">
        <v>1672</v>
      </c>
      <c r="AH67" s="2"/>
      <c r="AI67" s="6">
        <v>2</v>
      </c>
      <c r="AJ67" s="114" t="str">
        <f ca="1">IF((WEEKDAY(TODAY(),2))=6,"10:00","09:30")</f>
        <v>09:30</v>
      </c>
      <c r="AK67" s="58">
        <v>0.54166666666666696</v>
      </c>
      <c r="AL67" s="58" t="str">
        <f t="shared" ca="1" si="0"/>
        <v>09:30 - 13:00</v>
      </c>
      <c r="AM67" s="151">
        <v>5</v>
      </c>
      <c r="AN67" s="95">
        <f t="shared" si="8"/>
        <v>464640</v>
      </c>
      <c r="AO67" s="94" t="b">
        <v>1</v>
      </c>
      <c r="AP67" s="34">
        <f t="shared" si="2"/>
        <v>1452</v>
      </c>
      <c r="AQ67" s="23">
        <f t="shared" si="3"/>
        <v>3</v>
      </c>
      <c r="AR67" s="35" t="s">
        <v>48</v>
      </c>
      <c r="AT67" s="10"/>
      <c r="AU67" s="46"/>
      <c r="AW67" s="63" t="str">
        <f t="shared" ca="1" si="4"/>
        <v>12:33:19</v>
      </c>
      <c r="AX67" s="10"/>
      <c r="AY67" s="160">
        <v>1</v>
      </c>
      <c r="AZ67" s="10"/>
      <c r="BA67" s="104" t="str">
        <f t="shared" si="5"/>
        <v>БЕРЕЖКИ-КАСКАД-ПАРК-51</v>
      </c>
      <c r="BB67" s="52">
        <f>AP67*3+10*60</f>
        <v>4956</v>
      </c>
      <c r="BD67" s="123"/>
      <c r="BE67" s="117" t="s">
        <v>1315</v>
      </c>
      <c r="BF67" s="89" t="s">
        <v>1315</v>
      </c>
      <c r="BG67" s="89" t="s">
        <v>1315</v>
      </c>
      <c r="BH67" s="89" t="s">
        <v>1315</v>
      </c>
      <c r="BI67" s="89">
        <v>26.216666666666711</v>
      </c>
      <c r="BJ67" s="89" t="s">
        <v>1315</v>
      </c>
      <c r="BK67" s="89" t="s">
        <v>1315</v>
      </c>
      <c r="BL67" s="36" t="s">
        <v>293</v>
      </c>
    </row>
    <row r="68" spans="1:65" ht="15" customHeight="1" x14ac:dyDescent="0.3">
      <c r="C68" s="1">
        <v>86</v>
      </c>
      <c r="D68" s="6">
        <v>25957</v>
      </c>
      <c r="E68" s="6">
        <v>4957</v>
      </c>
      <c r="F68" s="37" t="s">
        <v>1401</v>
      </c>
      <c r="G68" s="8" t="s">
        <v>43</v>
      </c>
      <c r="H68" s="9">
        <v>26.59</v>
      </c>
      <c r="I68" s="9">
        <v>9.94</v>
      </c>
      <c r="J68" s="9" t="s">
        <v>1315</v>
      </c>
      <c r="K68" s="1" t="s">
        <v>1723</v>
      </c>
      <c r="M68" s="2" t="s">
        <v>1890</v>
      </c>
      <c r="N68" s="1">
        <v>1</v>
      </c>
      <c r="O68" s="1">
        <v>4</v>
      </c>
      <c r="P68" s="1" t="s">
        <v>72</v>
      </c>
      <c r="Q68" s="10" t="s">
        <v>289</v>
      </c>
      <c r="R68" t="s">
        <v>2150</v>
      </c>
      <c r="S68" t="s">
        <v>2151</v>
      </c>
      <c r="T68" t="s">
        <v>2152</v>
      </c>
      <c r="U68" t="s">
        <v>2153</v>
      </c>
      <c r="V68" t="s">
        <v>2154</v>
      </c>
      <c r="W68" t="s">
        <v>2155</v>
      </c>
      <c r="X68" t="s">
        <v>2147</v>
      </c>
      <c r="Y68" t="s">
        <v>2148</v>
      </c>
      <c r="Z68" t="s">
        <v>2149</v>
      </c>
      <c r="AA68">
        <v>12</v>
      </c>
      <c r="AB68" s="6" t="s">
        <v>780</v>
      </c>
      <c r="AC68" s="2" t="s">
        <v>290</v>
      </c>
      <c r="AF68" s="153" t="s">
        <v>1672</v>
      </c>
      <c r="AH68" s="25"/>
      <c r="AI68" s="6">
        <v>2</v>
      </c>
      <c r="AJ68" s="114" t="str">
        <f ca="1">IF((WEEKDAY(TODAY(),2))=6,"10:00","09:30")</f>
        <v>09:30</v>
      </c>
      <c r="AK68" s="142" t="str">
        <f>IF(AP68&gt;2000,"15:00",IF(AP68&lt;1000,"16:30","16:00"))</f>
        <v>16:30</v>
      </c>
      <c r="AL68" s="58" t="str">
        <f t="shared" ca="1" si="0"/>
        <v>09:30 - 16:30</v>
      </c>
      <c r="AM68" s="151">
        <v>5</v>
      </c>
      <c r="AN68" s="95">
        <f t="shared" si="8"/>
        <v>300000</v>
      </c>
      <c r="AO68" s="94" t="b">
        <v>1</v>
      </c>
      <c r="AP68" s="34">
        <f t="shared" si="2"/>
        <v>730.59999999999991</v>
      </c>
      <c r="AQ68" s="23">
        <f t="shared" si="3"/>
        <v>2</v>
      </c>
      <c r="AR68" s="35" t="s">
        <v>48</v>
      </c>
      <c r="AU68" s="46"/>
      <c r="AW68" s="63" t="str">
        <f t="shared" ca="1" si="4"/>
        <v>14:20:32</v>
      </c>
      <c r="AX68" s="10"/>
      <c r="AY68" s="160">
        <v>2</v>
      </c>
      <c r="AZ68" s="10"/>
      <c r="BA68" s="104" t="str">
        <f t="shared" si="5"/>
        <v>БОБРОВО-КРЫМСКАЯ-7</v>
      </c>
      <c r="BB68" s="85">
        <f>AP68*3+10*60</f>
        <v>2791.7999999999997</v>
      </c>
      <c r="BD68" s="123"/>
      <c r="BE68" s="117" t="s">
        <v>1315</v>
      </c>
      <c r="BF68" s="89" t="s">
        <v>1315</v>
      </c>
      <c r="BG68" s="89">
        <v>-7.0533333333333275</v>
      </c>
      <c r="BH68" s="89" t="s">
        <v>1315</v>
      </c>
      <c r="BI68" s="89" t="s">
        <v>1315</v>
      </c>
      <c r="BJ68" s="89" t="s">
        <v>1315</v>
      </c>
      <c r="BK68" s="89" t="s">
        <v>1315</v>
      </c>
      <c r="BL68" s="37" t="s">
        <v>288</v>
      </c>
    </row>
    <row r="69" spans="1:65" ht="15" customHeight="1" x14ac:dyDescent="0.3">
      <c r="C69" s="1">
        <v>107</v>
      </c>
      <c r="D69" s="6">
        <v>17</v>
      </c>
      <c r="E69" s="6">
        <v>7017</v>
      </c>
      <c r="F69" s="1" t="s">
        <v>1463</v>
      </c>
      <c r="G69" s="8" t="s">
        <v>50</v>
      </c>
      <c r="H69" s="9">
        <v>33.39</v>
      </c>
      <c r="I69" s="9">
        <v>10.25</v>
      </c>
      <c r="J69" s="9" t="s">
        <v>1811</v>
      </c>
      <c r="K69" s="1" t="s">
        <v>1717</v>
      </c>
      <c r="M69" s="2" t="s">
        <v>1326</v>
      </c>
      <c r="N69" s="1">
        <v>1</v>
      </c>
      <c r="O69" s="1">
        <v>1</v>
      </c>
      <c r="P69" s="1" t="s">
        <v>51</v>
      </c>
      <c r="Q69" s="10" t="s">
        <v>87</v>
      </c>
      <c r="R69" t="s">
        <v>2156</v>
      </c>
      <c r="S69" t="s">
        <v>2157</v>
      </c>
      <c r="T69" t="s">
        <v>2158</v>
      </c>
      <c r="U69" t="s">
        <v>2153</v>
      </c>
      <c r="V69" t="s">
        <v>2159</v>
      </c>
      <c r="W69" t="s">
        <v>2160</v>
      </c>
      <c r="X69" t="s">
        <v>2147</v>
      </c>
      <c r="Y69" t="s">
        <v>2148</v>
      </c>
      <c r="Z69" t="s">
        <v>2149</v>
      </c>
      <c r="AA69">
        <v>12</v>
      </c>
      <c r="AB69" s="6" t="s">
        <v>791</v>
      </c>
      <c r="AC69" s="2" t="s">
        <v>88</v>
      </c>
      <c r="AF69" s="153" t="s">
        <v>1672</v>
      </c>
      <c r="AH69" s="25"/>
      <c r="AI69" s="6">
        <v>1</v>
      </c>
      <c r="AJ69" s="13" t="s">
        <v>1326</v>
      </c>
      <c r="AK69" s="58">
        <v>0.35416666666666669</v>
      </c>
      <c r="AL69" s="58" t="str">
        <f t="shared" ref="AL69:AL132" si="9">CONCATENATE(TEXT(AJ69,"ЧЧ:ММ")," ","-"," ",TEXT(AK69,"ЧЧ:ММ"))</f>
        <v>08:00 - 08:30</v>
      </c>
      <c r="AM69" s="151">
        <v>5</v>
      </c>
      <c r="AN69" s="95">
        <f t="shared" si="8"/>
        <v>300000</v>
      </c>
      <c r="AO69" s="94" t="b">
        <v>1</v>
      </c>
      <c r="AP69" s="34">
        <f t="shared" ref="AP69:AP132" si="10">H69*20+I69*20</f>
        <v>872.8</v>
      </c>
      <c r="AQ69" s="23">
        <f t="shared" ref="AQ69:AQ132" si="11">IF(AP69&gt;520,ROUNDUP(((H69*20)/560+(I69*20)/550),0),IF(SUM(H69:I69)=0,0,IF(AP69&lt;255,1,ROUND(((H69*20)/520+(I69*20)/450),0))))</f>
        <v>2</v>
      </c>
      <c r="AR69" s="35" t="s">
        <v>48</v>
      </c>
      <c r="AU69" s="46"/>
      <c r="AW69" s="63" t="str">
        <f t="shared" ref="AW69:AW132" si="12">IF(TIMEVALUE(M69)&lt;TIMEVALUE(AJ69),AJ69,M69)</f>
        <v>08:00</v>
      </c>
      <c r="AX69" s="10"/>
      <c r="AY69" s="160">
        <v>1</v>
      </c>
      <c r="AZ69" s="10"/>
      <c r="BA69" s="104" t="str">
        <f t="shared" ref="BA69:BA132" si="13">F69</f>
        <v>ПРОФСОЮЗНАЯ-18К1</v>
      </c>
      <c r="BB69" s="85">
        <f>AP69*3+10*60</f>
        <v>3218.3999999999996</v>
      </c>
      <c r="BD69" s="123"/>
      <c r="BE69" s="117">
        <v>36.376666666666658</v>
      </c>
      <c r="BF69" s="89">
        <v>-1.3299999999999983</v>
      </c>
      <c r="BG69" s="89" t="s">
        <v>1315</v>
      </c>
      <c r="BH69" s="89">
        <v>2.6666666666670835E-2</v>
      </c>
      <c r="BI69" s="89" t="s">
        <v>1315</v>
      </c>
      <c r="BJ69" s="89">
        <v>5.8533333333332962</v>
      </c>
      <c r="BK69" s="89" t="s">
        <v>1315</v>
      </c>
      <c r="BL69" s="1" t="s">
        <v>86</v>
      </c>
    </row>
    <row r="70" spans="1:65" s="125" customFormat="1" ht="15" customHeight="1" x14ac:dyDescent="0.3">
      <c r="A70" s="1"/>
      <c r="B70" s="1"/>
      <c r="C70" s="1">
        <v>101</v>
      </c>
      <c r="D70" s="6">
        <v>861</v>
      </c>
      <c r="E70" s="6">
        <v>4861</v>
      </c>
      <c r="F70" s="10" t="s">
        <v>1431</v>
      </c>
      <c r="G70" s="8" t="s">
        <v>50</v>
      </c>
      <c r="H70" s="9">
        <v>35.340000000000003</v>
      </c>
      <c r="I70" s="9">
        <v>9.68</v>
      </c>
      <c r="J70" s="9" t="s">
        <v>1315</v>
      </c>
      <c r="K70" s="1" t="s">
        <v>1717</v>
      </c>
      <c r="L70" s="2"/>
      <c r="M70" s="2" t="s">
        <v>1878</v>
      </c>
      <c r="N70" s="1">
        <v>1</v>
      </c>
      <c r="O70" s="1">
        <v>2</v>
      </c>
      <c r="P70" s="1" t="s">
        <v>51</v>
      </c>
      <c r="Q70" s="1" t="s">
        <v>84</v>
      </c>
      <c r="R70" t="s">
        <v>2156</v>
      </c>
      <c r="S70" t="s">
        <v>2157</v>
      </c>
      <c r="T70" t="s">
        <v>2158</v>
      </c>
      <c r="U70" t="s">
        <v>2153</v>
      </c>
      <c r="V70" t="s">
        <v>2159</v>
      </c>
      <c r="W70" t="s">
        <v>2160</v>
      </c>
      <c r="X70" t="s">
        <v>2147</v>
      </c>
      <c r="Y70" t="s">
        <v>2148</v>
      </c>
      <c r="Z70" t="s">
        <v>2149</v>
      </c>
      <c r="AA70">
        <v>12</v>
      </c>
      <c r="AB70" s="6" t="s">
        <v>788</v>
      </c>
      <c r="AC70" s="2" t="s">
        <v>85</v>
      </c>
      <c r="AD70" s="48"/>
      <c r="AE70" s="48"/>
      <c r="AF70" s="153" t="s">
        <v>1672</v>
      </c>
      <c r="AG70" s="5"/>
      <c r="AH70" s="25"/>
      <c r="AI70" s="6">
        <v>2</v>
      </c>
      <c r="AJ70" s="13" t="s">
        <v>1328</v>
      </c>
      <c r="AK70" s="58">
        <v>0.54166666666666696</v>
      </c>
      <c r="AL70" s="58" t="str">
        <f t="shared" si="9"/>
        <v>09:00 - 13:00</v>
      </c>
      <c r="AM70" s="151">
        <v>5</v>
      </c>
      <c r="AN70" s="95">
        <f t="shared" si="8"/>
        <v>300000</v>
      </c>
      <c r="AO70" s="94" t="b">
        <v>1</v>
      </c>
      <c r="AP70" s="34">
        <f t="shared" si="10"/>
        <v>900.40000000000009</v>
      </c>
      <c r="AQ70" s="23">
        <f t="shared" si="11"/>
        <v>2</v>
      </c>
      <c r="AR70" s="35" t="s">
        <v>48</v>
      </c>
      <c r="AS70" s="1"/>
      <c r="AT70" s="1"/>
      <c r="AU70" s="46"/>
      <c r="AV70" s="1"/>
      <c r="AW70" s="63" t="str">
        <f t="shared" si="12"/>
        <v>09:03:54</v>
      </c>
      <c r="AX70" s="10"/>
      <c r="AY70" s="160">
        <v>1</v>
      </c>
      <c r="AZ70" s="10"/>
      <c r="BA70" s="104" t="str">
        <f t="shared" si="13"/>
        <v>60-ЛЕТИЯ-ОКТЯБРЯ-19</v>
      </c>
      <c r="BB70" s="85">
        <f>AP70*2.6+10*60</f>
        <v>2941.0400000000004</v>
      </c>
      <c r="BC70" s="110"/>
      <c r="BD70" s="123"/>
      <c r="BE70" s="117">
        <v>-18.426666666666669</v>
      </c>
      <c r="BF70" s="89" t="s">
        <v>1315</v>
      </c>
      <c r="BG70" s="89">
        <v>-15.690666666666672</v>
      </c>
      <c r="BH70" s="89">
        <v>-21.044000000000004</v>
      </c>
      <c r="BI70" s="89" t="s">
        <v>1315</v>
      </c>
      <c r="BJ70" s="89" t="s">
        <v>1315</v>
      </c>
      <c r="BK70" s="89" t="s">
        <v>1315</v>
      </c>
      <c r="BL70" s="10" t="s">
        <v>83</v>
      </c>
      <c r="BM70" s="1"/>
    </row>
    <row r="71" spans="1:65" ht="15" customHeight="1" x14ac:dyDescent="0.3">
      <c r="C71" s="1">
        <v>404</v>
      </c>
      <c r="D71" s="6">
        <v>44</v>
      </c>
      <c r="E71" s="6">
        <v>7044</v>
      </c>
      <c r="F71" s="1" t="s">
        <v>1561</v>
      </c>
      <c r="G71" s="8" t="s">
        <v>50</v>
      </c>
      <c r="H71" s="9">
        <v>37.54</v>
      </c>
      <c r="I71" s="9">
        <v>11.7</v>
      </c>
      <c r="J71" s="9" t="s">
        <v>1315</v>
      </c>
      <c r="K71" s="1" t="s">
        <v>1717</v>
      </c>
      <c r="M71" s="2" t="s">
        <v>1981</v>
      </c>
      <c r="N71" s="1">
        <v>1</v>
      </c>
      <c r="O71" s="1">
        <v>3</v>
      </c>
      <c r="P71" s="1" t="s">
        <v>51</v>
      </c>
      <c r="Q71" s="10" t="s">
        <v>509</v>
      </c>
      <c r="R71" t="s">
        <v>2156</v>
      </c>
      <c r="S71" t="s">
        <v>2157</v>
      </c>
      <c r="T71" t="s">
        <v>2158</v>
      </c>
      <c r="U71" t="s">
        <v>2153</v>
      </c>
      <c r="V71" t="s">
        <v>2159</v>
      </c>
      <c r="W71" t="s">
        <v>2160</v>
      </c>
      <c r="X71" t="s">
        <v>2147</v>
      </c>
      <c r="Y71" t="s">
        <v>2148</v>
      </c>
      <c r="Z71" t="s">
        <v>2149</v>
      </c>
      <c r="AA71">
        <v>12</v>
      </c>
      <c r="AB71" s="6" t="s">
        <v>928</v>
      </c>
      <c r="AC71" s="2" t="s">
        <v>510</v>
      </c>
      <c r="AF71" s="153" t="s">
        <v>1672</v>
      </c>
      <c r="AI71" s="6">
        <v>2</v>
      </c>
      <c r="AJ71" s="129" t="str">
        <f ca="1">IF((WEEKDAY(TODAY(),2))=6,"10:00","09:30")</f>
        <v>09:30</v>
      </c>
      <c r="AK71" s="58">
        <v>0.54166666666666696</v>
      </c>
      <c r="AL71" s="58" t="str">
        <f t="shared" ca="1" si="9"/>
        <v>09:30 - 13:00</v>
      </c>
      <c r="AM71" s="151">
        <v>6</v>
      </c>
      <c r="AN71" s="95">
        <f t="shared" si="8"/>
        <v>300000</v>
      </c>
      <c r="AO71" s="94" t="b">
        <v>1</v>
      </c>
      <c r="AP71" s="34">
        <f t="shared" si="10"/>
        <v>984.8</v>
      </c>
      <c r="AQ71" s="23">
        <f t="shared" si="11"/>
        <v>2</v>
      </c>
      <c r="AR71" s="35" t="s">
        <v>48</v>
      </c>
      <c r="AW71" s="63" t="str">
        <f t="shared" ca="1" si="12"/>
        <v>10:26:56</v>
      </c>
      <c r="AX71" s="10"/>
      <c r="AY71" s="160">
        <v>1</v>
      </c>
      <c r="AZ71" s="10"/>
      <c r="BA71" s="104" t="str">
        <f t="shared" si="13"/>
        <v>БОЛЬШАЯ-ФИЛЕВСКАЯ-19/18К1</v>
      </c>
      <c r="BB71" s="87">
        <f>AP71*3.5+10*60</f>
        <v>4046.7999999999997</v>
      </c>
      <c r="BD71" s="123"/>
      <c r="BE71" s="117" t="s">
        <v>1315</v>
      </c>
      <c r="BF71" s="89" t="s">
        <v>1315</v>
      </c>
      <c r="BG71" s="89" t="s">
        <v>1315</v>
      </c>
      <c r="BH71" s="89" t="s">
        <v>1315</v>
      </c>
      <c r="BI71" s="89" t="s">
        <v>1315</v>
      </c>
      <c r="BJ71" s="89">
        <v>25.173333333333332</v>
      </c>
      <c r="BK71" s="89" t="s">
        <v>1315</v>
      </c>
      <c r="BL71" s="1" t="s">
        <v>508</v>
      </c>
    </row>
    <row r="72" spans="1:65" ht="15" customHeight="1" x14ac:dyDescent="0.3">
      <c r="C72" s="1">
        <v>244</v>
      </c>
      <c r="D72" s="6">
        <v>507164</v>
      </c>
      <c r="E72" s="6">
        <v>4164</v>
      </c>
      <c r="F72" s="40" t="s">
        <v>1510</v>
      </c>
      <c r="G72" s="8" t="s">
        <v>43</v>
      </c>
      <c r="H72" s="9">
        <v>77.59</v>
      </c>
      <c r="I72" s="9">
        <v>31.43</v>
      </c>
      <c r="J72" s="9" t="s">
        <v>1315</v>
      </c>
      <c r="K72" s="1" t="s">
        <v>1717</v>
      </c>
      <c r="M72" s="2" t="s">
        <v>2064</v>
      </c>
      <c r="N72" s="1">
        <v>1</v>
      </c>
      <c r="O72" s="1">
        <v>4</v>
      </c>
      <c r="P72" s="1" t="s">
        <v>127</v>
      </c>
      <c r="Q72" s="10" t="s">
        <v>1133</v>
      </c>
      <c r="R72" t="s">
        <v>2156</v>
      </c>
      <c r="S72" t="s">
        <v>2157</v>
      </c>
      <c r="T72" t="s">
        <v>2158</v>
      </c>
      <c r="U72" t="s">
        <v>2153</v>
      </c>
      <c r="V72" t="s">
        <v>2159</v>
      </c>
      <c r="W72" t="s">
        <v>2160</v>
      </c>
      <c r="X72" t="s">
        <v>2147</v>
      </c>
      <c r="Y72" t="s">
        <v>2148</v>
      </c>
      <c r="Z72" t="s">
        <v>2149</v>
      </c>
      <c r="AA72">
        <v>12</v>
      </c>
      <c r="AB72" s="6" t="s">
        <v>857</v>
      </c>
      <c r="AC72" s="41" t="s">
        <v>1134</v>
      </c>
      <c r="AF72" s="168" t="s">
        <v>1681</v>
      </c>
      <c r="AI72" s="6">
        <v>2</v>
      </c>
      <c r="AJ72" s="114" t="str">
        <f ca="1">IF((WEEKDAY(TODAY(),2))=6,"10:00","09:30")</f>
        <v>09:30</v>
      </c>
      <c r="AK72" s="58">
        <v>0.54166666666666696</v>
      </c>
      <c r="AL72" s="58" t="str">
        <f t="shared" ca="1" si="9"/>
        <v>09:30 - 13:00</v>
      </c>
      <c r="AM72" s="151">
        <v>1</v>
      </c>
      <c r="AN72" s="95">
        <f t="shared" si="8"/>
        <v>697728</v>
      </c>
      <c r="AO72" s="94" t="b">
        <v>1</v>
      </c>
      <c r="AP72" s="34">
        <f t="shared" si="10"/>
        <v>2180.4</v>
      </c>
      <c r="AQ72" s="23">
        <f t="shared" si="11"/>
        <v>4</v>
      </c>
      <c r="AR72" s="35" t="s">
        <v>48</v>
      </c>
      <c r="AW72" s="63" t="str">
        <f t="shared" ca="1" si="12"/>
        <v>12:06:06</v>
      </c>
      <c r="AX72" s="173"/>
      <c r="AY72" s="160">
        <v>1</v>
      </c>
      <c r="AZ72" s="10"/>
      <c r="BA72" s="104" t="str">
        <f t="shared" si="13"/>
        <v>БУЗЛАНОВО-НОВЫЙ-ПОСЕЛОК-9</v>
      </c>
      <c r="BB72" s="87">
        <f>AP72*3.5+10*60</f>
        <v>8231.4000000000015</v>
      </c>
      <c r="BD72" s="123"/>
      <c r="BE72" s="117" t="s">
        <v>1315</v>
      </c>
      <c r="BF72" s="89" t="s">
        <v>1315</v>
      </c>
      <c r="BG72" s="89" t="s">
        <v>1315</v>
      </c>
      <c r="BH72" s="89">
        <v>-40.414999999999985</v>
      </c>
      <c r="BI72" s="89" t="s">
        <v>1315</v>
      </c>
      <c r="BJ72" s="89" t="s">
        <v>1315</v>
      </c>
      <c r="BK72" s="89" t="s">
        <v>1315</v>
      </c>
      <c r="BL72" s="40" t="s">
        <v>1132</v>
      </c>
    </row>
    <row r="73" spans="1:65" ht="15" customHeight="1" x14ac:dyDescent="0.3">
      <c r="C73" s="1">
        <v>366</v>
      </c>
      <c r="D73" s="6">
        <v>7078</v>
      </c>
      <c r="E73" s="6">
        <v>4078</v>
      </c>
      <c r="F73" s="19" t="s">
        <v>1420</v>
      </c>
      <c r="G73" s="8" t="s">
        <v>50</v>
      </c>
      <c r="H73" s="9">
        <v>27.56</v>
      </c>
      <c r="I73" s="9">
        <v>4.93</v>
      </c>
      <c r="J73" s="179" t="s">
        <v>2089</v>
      </c>
      <c r="K73" s="1" t="s">
        <v>1713</v>
      </c>
      <c r="M73" s="2" t="s">
        <v>1327</v>
      </c>
      <c r="N73" s="1">
        <v>1</v>
      </c>
      <c r="O73" s="1">
        <v>1</v>
      </c>
      <c r="P73" s="1" t="s">
        <v>51</v>
      </c>
      <c r="Q73" s="10" t="s">
        <v>1214</v>
      </c>
      <c r="R73" t="s">
        <v>2349</v>
      </c>
      <c r="S73" t="s">
        <v>2350</v>
      </c>
      <c r="T73">
        <v>89629380358</v>
      </c>
      <c r="U73" t="s">
        <v>2323</v>
      </c>
      <c r="V73" t="s">
        <v>2351</v>
      </c>
      <c r="W73">
        <v>9935704002</v>
      </c>
      <c r="X73" t="s">
        <v>2117</v>
      </c>
      <c r="Y73" t="s">
        <v>2325</v>
      </c>
      <c r="Z73" t="s">
        <v>2352</v>
      </c>
      <c r="AA73">
        <v>8</v>
      </c>
      <c r="AB73" s="6" t="s">
        <v>910</v>
      </c>
      <c r="AC73" s="2" t="s">
        <v>969</v>
      </c>
      <c r="AF73" s="153" t="s">
        <v>1672</v>
      </c>
      <c r="AI73" s="6">
        <v>2</v>
      </c>
      <c r="AJ73" s="13" t="s">
        <v>1327</v>
      </c>
      <c r="AK73" s="58">
        <v>0.45833333333333331</v>
      </c>
      <c r="AL73" s="58" t="str">
        <f t="shared" si="9"/>
        <v>08:30 - 11:00</v>
      </c>
      <c r="AM73" s="151">
        <v>3</v>
      </c>
      <c r="AN73" s="95">
        <f t="shared" si="8"/>
        <v>300000</v>
      </c>
      <c r="AO73" s="94" t="b">
        <v>1</v>
      </c>
      <c r="AP73" s="34">
        <f t="shared" si="10"/>
        <v>649.79999999999995</v>
      </c>
      <c r="AQ73" s="23">
        <f t="shared" si="11"/>
        <v>2</v>
      </c>
      <c r="AR73" s="35" t="s">
        <v>48</v>
      </c>
      <c r="AW73" s="63" t="str">
        <f t="shared" si="12"/>
        <v>08:30</v>
      </c>
      <c r="AX73" s="10"/>
      <c r="AY73" s="160">
        <v>1</v>
      </c>
      <c r="AZ73" s="10"/>
      <c r="BA73" s="104" t="str">
        <f t="shared" si="13"/>
        <v>ХРОМОВА-3</v>
      </c>
      <c r="BB73" s="87">
        <f>AP73*3.5+10*60</f>
        <v>2874.2999999999997</v>
      </c>
      <c r="BD73" s="123"/>
      <c r="BE73" s="117" t="s">
        <v>1315</v>
      </c>
      <c r="BF73" s="89" t="s">
        <v>1315</v>
      </c>
      <c r="BG73" s="89" t="s">
        <v>1315</v>
      </c>
      <c r="BH73" s="89">
        <v>69.021666666666675</v>
      </c>
      <c r="BI73" s="89" t="s">
        <v>1315</v>
      </c>
      <c r="BJ73" s="89">
        <v>-21.051666666666669</v>
      </c>
      <c r="BK73" s="89" t="s">
        <v>1315</v>
      </c>
      <c r="BL73" s="19" t="s">
        <v>970</v>
      </c>
    </row>
    <row r="74" spans="1:65" ht="15" customHeight="1" x14ac:dyDescent="0.3">
      <c r="C74" s="1">
        <v>375</v>
      </c>
      <c r="D74" s="6">
        <v>26</v>
      </c>
      <c r="E74" s="6">
        <v>7026</v>
      </c>
      <c r="F74" s="1" t="s">
        <v>1546</v>
      </c>
      <c r="G74" s="8" t="s">
        <v>50</v>
      </c>
      <c r="H74" s="9">
        <v>29.060000000000002</v>
      </c>
      <c r="I74" s="9">
        <v>3.79</v>
      </c>
      <c r="J74" s="9" t="s">
        <v>1315</v>
      </c>
      <c r="K74" s="1" t="s">
        <v>1713</v>
      </c>
      <c r="M74" s="2" t="s">
        <v>2005</v>
      </c>
      <c r="N74" s="1">
        <v>1</v>
      </c>
      <c r="O74" s="1">
        <v>2</v>
      </c>
      <c r="P74" s="1" t="s">
        <v>51</v>
      </c>
      <c r="Q74" s="10" t="s">
        <v>1213</v>
      </c>
      <c r="R74" t="s">
        <v>2349</v>
      </c>
      <c r="S74" t="s">
        <v>2350</v>
      </c>
      <c r="T74">
        <v>89629380358</v>
      </c>
      <c r="U74" t="s">
        <v>2323</v>
      </c>
      <c r="V74" t="s">
        <v>2351</v>
      </c>
      <c r="W74">
        <v>9935704002</v>
      </c>
      <c r="X74" t="s">
        <v>2117</v>
      </c>
      <c r="Y74" t="s">
        <v>2325</v>
      </c>
      <c r="Z74" t="s">
        <v>2352</v>
      </c>
      <c r="AA74">
        <v>8</v>
      </c>
      <c r="AB74" s="6" t="s">
        <v>911</v>
      </c>
      <c r="AC74" s="2" t="s">
        <v>486</v>
      </c>
      <c r="AF74" s="153" t="s">
        <v>1672</v>
      </c>
      <c r="AI74" s="6">
        <v>2</v>
      </c>
      <c r="AJ74" s="13" t="s">
        <v>1328</v>
      </c>
      <c r="AK74" s="58">
        <v>0.54166666666666696</v>
      </c>
      <c r="AL74" s="58" t="str">
        <f t="shared" si="9"/>
        <v>09:00 - 13:00</v>
      </c>
      <c r="AM74" s="151">
        <v>3</v>
      </c>
      <c r="AN74" s="95">
        <f t="shared" si="8"/>
        <v>300000</v>
      </c>
      <c r="AO74" s="94" t="b">
        <v>1</v>
      </c>
      <c r="AP74" s="34">
        <f t="shared" si="10"/>
        <v>657</v>
      </c>
      <c r="AQ74" s="23">
        <f t="shared" si="11"/>
        <v>2</v>
      </c>
      <c r="AR74" s="35" t="s">
        <v>48</v>
      </c>
      <c r="AW74" s="63" t="str">
        <f t="shared" si="12"/>
        <v>09:33:59</v>
      </c>
      <c r="AX74" s="10"/>
      <c r="AY74" s="160">
        <v>1</v>
      </c>
      <c r="AZ74" s="10"/>
      <c r="BA74" s="104" t="str">
        <f t="shared" si="13"/>
        <v>ИЗМАЙЛОВСКИЙ-Б-Р-11/31</v>
      </c>
      <c r="BB74" s="87">
        <f>AP74*3.5+10*60</f>
        <v>2899.5</v>
      </c>
      <c r="BD74" s="123"/>
      <c r="BE74" s="117">
        <v>-16.828333333333333</v>
      </c>
      <c r="BF74" s="89" t="s">
        <v>1315</v>
      </c>
      <c r="BG74" s="89" t="s">
        <v>1315</v>
      </c>
      <c r="BH74" s="89">
        <v>-23.00333333333333</v>
      </c>
      <c r="BI74" s="89" t="s">
        <v>1315</v>
      </c>
      <c r="BJ74" s="89" t="s">
        <v>1315</v>
      </c>
      <c r="BK74" s="89" t="s">
        <v>1315</v>
      </c>
      <c r="BL74" s="1" t="s">
        <v>485</v>
      </c>
    </row>
    <row r="75" spans="1:65" ht="15" customHeight="1" x14ac:dyDescent="0.3">
      <c r="C75" s="1">
        <v>350</v>
      </c>
      <c r="D75" s="6">
        <v>25851</v>
      </c>
      <c r="E75" s="6">
        <v>4851</v>
      </c>
      <c r="F75" s="10" t="s">
        <v>1645</v>
      </c>
      <c r="G75" s="8" t="s">
        <v>43</v>
      </c>
      <c r="H75" s="9">
        <v>29.09</v>
      </c>
      <c r="I75" s="9">
        <v>14.13</v>
      </c>
      <c r="J75" s="9" t="s">
        <v>1315</v>
      </c>
      <c r="K75" s="1" t="s">
        <v>1713</v>
      </c>
      <c r="M75" s="2" t="s">
        <v>1903</v>
      </c>
      <c r="N75" s="1">
        <v>1</v>
      </c>
      <c r="O75" s="1">
        <v>3</v>
      </c>
      <c r="P75" s="1" t="s">
        <v>466</v>
      </c>
      <c r="Q75" s="10" t="s">
        <v>468</v>
      </c>
      <c r="R75" t="s">
        <v>2349</v>
      </c>
      <c r="S75" t="s">
        <v>2350</v>
      </c>
      <c r="T75">
        <v>89629380358</v>
      </c>
      <c r="U75" t="s">
        <v>2323</v>
      </c>
      <c r="V75" t="s">
        <v>2351</v>
      </c>
      <c r="W75">
        <v>9935704002</v>
      </c>
      <c r="X75" t="s">
        <v>2117</v>
      </c>
      <c r="Y75" t="s">
        <v>2325</v>
      </c>
      <c r="Z75" t="s">
        <v>2352</v>
      </c>
      <c r="AA75">
        <v>8</v>
      </c>
      <c r="AB75" s="6" t="s">
        <v>904</v>
      </c>
      <c r="AC75" s="2" t="s">
        <v>469</v>
      </c>
      <c r="AF75" s="156" t="s">
        <v>1681</v>
      </c>
      <c r="AI75" s="6">
        <v>2</v>
      </c>
      <c r="AJ75" s="114" t="str">
        <f ca="1">IF((WEEKDAY(TODAY(),2))=6,"10:00","09:00")</f>
        <v>09:00</v>
      </c>
      <c r="AK75" s="58">
        <v>0.54166666666666696</v>
      </c>
      <c r="AL75" s="58" t="str">
        <f t="shared" ca="1" si="9"/>
        <v>09:00 - 13:00</v>
      </c>
      <c r="AM75" s="151">
        <v>2</v>
      </c>
      <c r="AN75" s="95">
        <f t="shared" si="8"/>
        <v>300000</v>
      </c>
      <c r="AO75" s="94" t="b">
        <v>1</v>
      </c>
      <c r="AP75" s="34">
        <f t="shared" si="10"/>
        <v>864.4</v>
      </c>
      <c r="AQ75" s="23">
        <f t="shared" si="11"/>
        <v>2</v>
      </c>
      <c r="AR75" s="35" t="s">
        <v>48</v>
      </c>
      <c r="AW75" s="63" t="str">
        <f t="shared" ca="1" si="12"/>
        <v>11:12:11</v>
      </c>
      <c r="AX75" s="173"/>
      <c r="AY75" s="160">
        <v>1</v>
      </c>
      <c r="AZ75" s="10"/>
      <c r="BA75" s="104" t="str">
        <f t="shared" si="13"/>
        <v>КОРОЛЕВ-АК-ЛЕГОСТАЕВА-8</v>
      </c>
      <c r="BB75" s="85">
        <f>AP75*3+10*60</f>
        <v>3193.2</v>
      </c>
      <c r="BD75" s="123"/>
      <c r="BE75" s="117" t="s">
        <v>1315</v>
      </c>
      <c r="BF75" s="89">
        <v>-16.57</v>
      </c>
      <c r="BG75" s="89" t="s">
        <v>1315</v>
      </c>
      <c r="BH75" s="89" t="s">
        <v>1315</v>
      </c>
      <c r="BI75" s="89" t="s">
        <v>1315</v>
      </c>
      <c r="BJ75" s="89" t="s">
        <v>1315</v>
      </c>
      <c r="BK75" s="89" t="s">
        <v>1315</v>
      </c>
      <c r="BL75" s="10" t="s">
        <v>467</v>
      </c>
    </row>
    <row r="76" spans="1:65" ht="15" customHeight="1" x14ac:dyDescent="0.3">
      <c r="C76" s="1">
        <v>347</v>
      </c>
      <c r="D76" s="6">
        <v>257113</v>
      </c>
      <c r="E76" s="6">
        <v>4113</v>
      </c>
      <c r="F76" s="19" t="s">
        <v>1542</v>
      </c>
      <c r="G76" s="8" t="s">
        <v>43</v>
      </c>
      <c r="H76" s="9">
        <v>25.96</v>
      </c>
      <c r="I76" s="9">
        <v>12.920000000000002</v>
      </c>
      <c r="J76" s="9" t="s">
        <v>1315</v>
      </c>
      <c r="K76" s="1" t="s">
        <v>1713</v>
      </c>
      <c r="M76" s="2" t="s">
        <v>1870</v>
      </c>
      <c r="N76" s="1">
        <v>1</v>
      </c>
      <c r="O76" s="1">
        <v>4</v>
      </c>
      <c r="P76" s="1" t="s">
        <v>466</v>
      </c>
      <c r="Q76" s="2" t="s">
        <v>1032</v>
      </c>
      <c r="R76" t="s">
        <v>2349</v>
      </c>
      <c r="S76" t="s">
        <v>2350</v>
      </c>
      <c r="T76">
        <v>89629380358</v>
      </c>
      <c r="U76" t="s">
        <v>2323</v>
      </c>
      <c r="V76" t="s">
        <v>2351</v>
      </c>
      <c r="W76">
        <v>9935704002</v>
      </c>
      <c r="X76" t="s">
        <v>2117</v>
      </c>
      <c r="Y76" t="s">
        <v>2325</v>
      </c>
      <c r="Z76" t="s">
        <v>2352</v>
      </c>
      <c r="AA76">
        <v>8</v>
      </c>
      <c r="AB76" s="6" t="s">
        <v>903</v>
      </c>
      <c r="AC76" s="2" t="s">
        <v>1033</v>
      </c>
      <c r="AF76" s="156" t="s">
        <v>1681</v>
      </c>
      <c r="AI76" s="6">
        <v>2</v>
      </c>
      <c r="AJ76" s="114" t="str">
        <f ca="1">IF((WEEKDAY(TODAY(),2))=6,"10:00","09:00")</f>
        <v>09:00</v>
      </c>
      <c r="AK76" s="142" t="str">
        <f>IF(AP76&gt;2000,"15:00",IF(AP76&lt;1000,"16:30","16:00"))</f>
        <v>16:30</v>
      </c>
      <c r="AL76" s="58" t="str">
        <f t="shared" ca="1" si="9"/>
        <v>09:00 - 16:30</v>
      </c>
      <c r="AM76" s="151">
        <v>2</v>
      </c>
      <c r="AN76" s="95">
        <f t="shared" si="8"/>
        <v>300000</v>
      </c>
      <c r="AO76" s="94" t="b">
        <v>1</v>
      </c>
      <c r="AP76" s="34">
        <f t="shared" si="10"/>
        <v>777.60000000000014</v>
      </c>
      <c r="AQ76" s="23">
        <f t="shared" si="11"/>
        <v>2</v>
      </c>
      <c r="AR76" s="35" t="s">
        <v>48</v>
      </c>
      <c r="AW76" s="63" t="str">
        <f t="shared" ca="1" si="12"/>
        <v>12:25:35</v>
      </c>
      <c r="AX76" s="173"/>
      <c r="AY76" s="160">
        <v>2</v>
      </c>
      <c r="AZ76" s="10"/>
      <c r="BA76" s="104" t="str">
        <f t="shared" si="13"/>
        <v>КОРОЛЕВ-ПИОНЕРСКАЯ-13К5</v>
      </c>
      <c r="BB76" s="85">
        <f>AP76*3+10*60</f>
        <v>2932.8</v>
      </c>
      <c r="BD76" s="123"/>
      <c r="BE76" s="117" t="s">
        <v>1315</v>
      </c>
      <c r="BF76" s="89">
        <v>-16.450000000000003</v>
      </c>
      <c r="BG76" s="89" t="s">
        <v>1315</v>
      </c>
      <c r="BH76" s="89" t="s">
        <v>1315</v>
      </c>
      <c r="BI76" s="89" t="s">
        <v>1315</v>
      </c>
      <c r="BJ76" s="89" t="s">
        <v>1315</v>
      </c>
      <c r="BK76" s="89" t="s">
        <v>1315</v>
      </c>
      <c r="BL76" s="19" t="s">
        <v>1031</v>
      </c>
    </row>
    <row r="77" spans="1:65" ht="15" customHeight="1" x14ac:dyDescent="0.3">
      <c r="C77" s="1">
        <v>49</v>
      </c>
      <c r="D77" s="6">
        <v>25974</v>
      </c>
      <c r="E77" s="6">
        <v>4974</v>
      </c>
      <c r="F77" s="11" t="s">
        <v>1383</v>
      </c>
      <c r="G77" s="1" t="s">
        <v>43</v>
      </c>
      <c r="H77" s="9">
        <v>34.729999999999997</v>
      </c>
      <c r="I77" s="9">
        <v>22.16</v>
      </c>
      <c r="J77" s="179" t="s">
        <v>2089</v>
      </c>
      <c r="K77" s="1" t="s">
        <v>1770</v>
      </c>
      <c r="M77" s="2" t="s">
        <v>2078</v>
      </c>
      <c r="N77" s="1">
        <v>1</v>
      </c>
      <c r="O77" s="1">
        <v>1</v>
      </c>
      <c r="P77" s="1" t="s">
        <v>248</v>
      </c>
      <c r="Q77" s="12" t="s">
        <v>255</v>
      </c>
      <c r="R77" t="s">
        <v>2353</v>
      </c>
      <c r="S77">
        <v>9905453840</v>
      </c>
      <c r="T77">
        <v>89992339124</v>
      </c>
      <c r="U77" t="s">
        <v>2328</v>
      </c>
      <c r="V77" t="s">
        <v>2354</v>
      </c>
      <c r="W77">
        <v>9949247264</v>
      </c>
      <c r="X77" t="s">
        <v>2117</v>
      </c>
      <c r="Y77" t="s">
        <v>2325</v>
      </c>
      <c r="Z77" t="s">
        <v>2352</v>
      </c>
      <c r="AA77">
        <v>8</v>
      </c>
      <c r="AB77" s="6" t="s">
        <v>759</v>
      </c>
      <c r="AC77" s="2" t="s">
        <v>256</v>
      </c>
      <c r="AF77" s="153" t="s">
        <v>1672</v>
      </c>
      <c r="AI77" s="6">
        <v>2</v>
      </c>
      <c r="AJ77" s="114" t="str">
        <f ca="1">IF((WEEKDAY(TODAY(),2))=6,"10:00","09:00")</f>
        <v>09:00</v>
      </c>
      <c r="AK77" s="58">
        <v>0.54166666666666696</v>
      </c>
      <c r="AL77" s="58" t="str">
        <f t="shared" ca="1" si="9"/>
        <v>09:00 - 13:00</v>
      </c>
      <c r="AM77" s="151">
        <v>4</v>
      </c>
      <c r="AN77" s="95">
        <f t="shared" si="8"/>
        <v>364096</v>
      </c>
      <c r="AO77" s="94" t="b">
        <v>1</v>
      </c>
      <c r="AP77" s="34">
        <f t="shared" si="10"/>
        <v>1137.8</v>
      </c>
      <c r="AQ77" s="23">
        <f t="shared" si="11"/>
        <v>3</v>
      </c>
      <c r="AR77" s="35" t="s">
        <v>48</v>
      </c>
      <c r="AU77" s="46"/>
      <c r="AW77" s="63" t="str">
        <f t="shared" ca="1" si="12"/>
        <v>11:08:38</v>
      </c>
      <c r="AX77" s="152"/>
      <c r="AY77" s="160">
        <v>1</v>
      </c>
      <c r="AZ77" s="10"/>
      <c r="BA77" s="104" t="str">
        <f t="shared" si="13"/>
        <v>КОТЕЛЬНИКИ-БЕЛАЯ-ДАЧА-МКР-11К1</v>
      </c>
      <c r="BB77" s="85">
        <f>AP77*3.5+10*60</f>
        <v>4582.2999999999993</v>
      </c>
      <c r="BD77" s="123"/>
      <c r="BE77" s="117" t="s">
        <v>1315</v>
      </c>
      <c r="BF77" s="89">
        <v>16.171666666666674</v>
      </c>
      <c r="BG77" s="89" t="s">
        <v>1315</v>
      </c>
      <c r="BH77" s="89" t="s">
        <v>1315</v>
      </c>
      <c r="BI77" s="89">
        <v>-17.419999999999987</v>
      </c>
      <c r="BJ77" s="89" t="s">
        <v>1315</v>
      </c>
      <c r="BK77" s="89" t="s">
        <v>1315</v>
      </c>
      <c r="BL77" s="11" t="s">
        <v>254</v>
      </c>
    </row>
    <row r="78" spans="1:65" ht="15" customHeight="1" x14ac:dyDescent="0.3">
      <c r="C78" s="1">
        <v>47</v>
      </c>
      <c r="D78" s="6">
        <v>25806</v>
      </c>
      <c r="E78" s="6">
        <v>4806</v>
      </c>
      <c r="F78" s="16" t="s">
        <v>1381</v>
      </c>
      <c r="G78" s="1" t="s">
        <v>43</v>
      </c>
      <c r="H78" s="9">
        <v>64.600000000000009</v>
      </c>
      <c r="I78" s="9">
        <v>24.84</v>
      </c>
      <c r="J78" s="9" t="s">
        <v>1315</v>
      </c>
      <c r="K78" s="1" t="s">
        <v>1770</v>
      </c>
      <c r="M78" s="2" t="s">
        <v>2022</v>
      </c>
      <c r="N78" s="1">
        <v>1</v>
      </c>
      <c r="O78" s="1">
        <v>2</v>
      </c>
      <c r="P78" s="1" t="s">
        <v>248</v>
      </c>
      <c r="Q78" s="12" t="s">
        <v>249</v>
      </c>
      <c r="R78" t="s">
        <v>2353</v>
      </c>
      <c r="S78">
        <v>9905453840</v>
      </c>
      <c r="T78">
        <v>89992339124</v>
      </c>
      <c r="U78" t="s">
        <v>2328</v>
      </c>
      <c r="V78" t="s">
        <v>2354</v>
      </c>
      <c r="W78">
        <v>9949247264</v>
      </c>
      <c r="X78" t="s">
        <v>2117</v>
      </c>
      <c r="Y78" t="s">
        <v>2325</v>
      </c>
      <c r="Z78" t="s">
        <v>2352</v>
      </c>
      <c r="AA78">
        <v>8</v>
      </c>
      <c r="AB78" s="6" t="s">
        <v>757</v>
      </c>
      <c r="AC78" s="2" t="s">
        <v>250</v>
      </c>
      <c r="AF78" s="14" t="s">
        <v>732</v>
      </c>
      <c r="AH78" s="25"/>
      <c r="AI78" s="6">
        <v>2</v>
      </c>
      <c r="AJ78" s="114" t="str">
        <f ca="1">IF((WEEKDAY(TODAY(),2))=6,"10:00","09:30")</f>
        <v>09:30</v>
      </c>
      <c r="AK78" s="58">
        <v>0.54166666666666696</v>
      </c>
      <c r="AL78" s="58" t="str">
        <f t="shared" ca="1" si="9"/>
        <v>09:30 - 13:00</v>
      </c>
      <c r="AM78" s="151">
        <v>4</v>
      </c>
      <c r="AN78" s="95">
        <f t="shared" si="8"/>
        <v>572416</v>
      </c>
      <c r="AO78" s="94" t="b">
        <v>1</v>
      </c>
      <c r="AP78" s="34">
        <f t="shared" si="10"/>
        <v>1788.8000000000002</v>
      </c>
      <c r="AQ78" s="23">
        <f t="shared" si="11"/>
        <v>4</v>
      </c>
      <c r="AR78" s="35" t="s">
        <v>48</v>
      </c>
      <c r="AU78" s="46"/>
      <c r="AW78" s="63" t="str">
        <f t="shared" ca="1" si="12"/>
        <v>12:36:09</v>
      </c>
      <c r="AX78" s="152"/>
      <c r="AY78" s="160">
        <v>1</v>
      </c>
      <c r="AZ78" s="10"/>
      <c r="BA78" s="104" t="str">
        <f t="shared" si="13"/>
        <v>КОТЕЛЬНИКИ-СОСНОВАЯ-1К3</v>
      </c>
      <c r="BB78" s="85">
        <f>AP78*3.7+10*60</f>
        <v>7218.5600000000013</v>
      </c>
      <c r="BD78" s="123"/>
      <c r="BE78" s="117" t="s">
        <v>1315</v>
      </c>
      <c r="BF78" s="89">
        <v>-22.210666666666654</v>
      </c>
      <c r="BG78" s="89" t="s">
        <v>1315</v>
      </c>
      <c r="BH78" s="89" t="s">
        <v>1315</v>
      </c>
      <c r="BI78" s="89">
        <v>-28.800333333333356</v>
      </c>
      <c r="BJ78" s="89" t="s">
        <v>1315</v>
      </c>
      <c r="BK78" s="89" t="s">
        <v>1315</v>
      </c>
      <c r="BL78" s="16" t="s">
        <v>247</v>
      </c>
    </row>
    <row r="79" spans="1:65" ht="15" customHeight="1" x14ac:dyDescent="0.3">
      <c r="C79" s="1">
        <v>11</v>
      </c>
      <c r="D79" s="6">
        <v>665</v>
      </c>
      <c r="E79" s="6">
        <v>7665</v>
      </c>
      <c r="F79" s="1" t="s">
        <v>1370</v>
      </c>
      <c r="G79" s="8" t="s">
        <v>50</v>
      </c>
      <c r="H79" s="9">
        <v>21.11</v>
      </c>
      <c r="I79" s="9">
        <v>1.95</v>
      </c>
      <c r="J79" s="179" t="s">
        <v>2089</v>
      </c>
      <c r="K79" s="1" t="s">
        <v>1730</v>
      </c>
      <c r="M79" s="2" t="s">
        <v>1909</v>
      </c>
      <c r="N79" s="1">
        <v>1</v>
      </c>
      <c r="O79" s="1">
        <v>1</v>
      </c>
      <c r="P79" s="1" t="s">
        <v>51</v>
      </c>
      <c r="Q79" s="10" t="s">
        <v>225</v>
      </c>
      <c r="R79" t="s">
        <v>2355</v>
      </c>
      <c r="S79">
        <v>2425091213</v>
      </c>
      <c r="T79">
        <v>89832676228</v>
      </c>
      <c r="U79" t="s">
        <v>2328</v>
      </c>
      <c r="V79" t="s">
        <v>2356</v>
      </c>
      <c r="W79">
        <v>9966810995</v>
      </c>
      <c r="X79" t="s">
        <v>2117</v>
      </c>
      <c r="Y79" t="s">
        <v>2325</v>
      </c>
      <c r="Z79" t="s">
        <v>2352</v>
      </c>
      <c r="AA79">
        <v>8</v>
      </c>
      <c r="AB79" s="6" t="s">
        <v>746</v>
      </c>
      <c r="AC79" s="2" t="s">
        <v>226</v>
      </c>
      <c r="AF79" s="155" t="s">
        <v>732</v>
      </c>
      <c r="AH79" s="25"/>
      <c r="AI79" s="6">
        <v>2</v>
      </c>
      <c r="AJ79" s="13" t="s">
        <v>1328</v>
      </c>
      <c r="AK79" s="58">
        <v>0.54166666666666696</v>
      </c>
      <c r="AL79" s="58" t="str">
        <f t="shared" si="9"/>
        <v>09:00 - 13:00</v>
      </c>
      <c r="AM79" s="151">
        <v>4</v>
      </c>
      <c r="AN79" s="95">
        <f t="shared" ref="AN79:AN104" si="14">IF(AP79&gt;1000,(AP79*320),300000)</f>
        <v>300000</v>
      </c>
      <c r="AO79" s="94" t="b">
        <v>1</v>
      </c>
      <c r="AP79" s="34">
        <f t="shared" si="10"/>
        <v>461.2</v>
      </c>
      <c r="AQ79" s="23">
        <f t="shared" si="11"/>
        <v>1</v>
      </c>
      <c r="AR79" s="35" t="s">
        <v>48</v>
      </c>
      <c r="AU79" s="46"/>
      <c r="AW79" s="63" t="str">
        <f t="shared" si="12"/>
        <v>11:11:00</v>
      </c>
      <c r="AX79" s="152"/>
      <c r="AY79" s="160">
        <v>1</v>
      </c>
      <c r="AZ79" s="10"/>
      <c r="BA79" s="104" t="str">
        <f t="shared" si="13"/>
        <v>ВОРОНЕЖСКАЯ-7</v>
      </c>
      <c r="BB79" s="87">
        <f>AP79*3.5+10*60</f>
        <v>2214.1999999999998</v>
      </c>
      <c r="BD79" s="123"/>
      <c r="BE79" s="117" t="s">
        <v>1315</v>
      </c>
      <c r="BF79" s="89">
        <v>-1.8449999999999989</v>
      </c>
      <c r="BG79" s="89" t="s">
        <v>1315</v>
      </c>
      <c r="BH79" s="89" t="s">
        <v>1315</v>
      </c>
      <c r="BI79" s="89" t="s">
        <v>1315</v>
      </c>
      <c r="BJ79" s="89" t="s">
        <v>1315</v>
      </c>
      <c r="BK79" s="89" t="s">
        <v>1315</v>
      </c>
      <c r="BL79" s="1" t="s">
        <v>224</v>
      </c>
    </row>
    <row r="80" spans="1:65" ht="15" customHeight="1" x14ac:dyDescent="0.3">
      <c r="C80" s="1">
        <v>1</v>
      </c>
      <c r="D80" s="6">
        <v>3</v>
      </c>
      <c r="E80" s="6">
        <v>7003</v>
      </c>
      <c r="F80" s="1" t="s">
        <v>1365</v>
      </c>
      <c r="G80" s="8" t="s">
        <v>50</v>
      </c>
      <c r="H80" s="9">
        <v>27.189999999999998</v>
      </c>
      <c r="I80" s="9">
        <v>0.8</v>
      </c>
      <c r="J80" s="9" t="s">
        <v>1315</v>
      </c>
      <c r="K80" s="1" t="s">
        <v>1730</v>
      </c>
      <c r="M80" s="2" t="s">
        <v>1911</v>
      </c>
      <c r="N80" s="1">
        <v>1</v>
      </c>
      <c r="O80" s="1">
        <v>2</v>
      </c>
      <c r="P80" s="1" t="s">
        <v>51</v>
      </c>
      <c r="Q80" s="10" t="s">
        <v>207</v>
      </c>
      <c r="R80" t="s">
        <v>2355</v>
      </c>
      <c r="S80">
        <v>2425091213</v>
      </c>
      <c r="T80">
        <v>89832676228</v>
      </c>
      <c r="U80" t="s">
        <v>2328</v>
      </c>
      <c r="V80" t="s">
        <v>2356</v>
      </c>
      <c r="W80">
        <v>9966810995</v>
      </c>
      <c r="X80" t="s">
        <v>2117</v>
      </c>
      <c r="Y80" t="s">
        <v>2325</v>
      </c>
      <c r="Z80" t="s">
        <v>2352</v>
      </c>
      <c r="AA80">
        <v>8</v>
      </c>
      <c r="AB80" s="6" t="s">
        <v>740</v>
      </c>
      <c r="AC80" s="2" t="s">
        <v>208</v>
      </c>
      <c r="AF80" s="153" t="s">
        <v>1672</v>
      </c>
      <c r="AH80" s="25"/>
      <c r="AI80" s="6">
        <v>2</v>
      </c>
      <c r="AJ80" s="13" t="s">
        <v>1328</v>
      </c>
      <c r="AK80" s="58">
        <v>0.54166666666666696</v>
      </c>
      <c r="AL80" s="58" t="str">
        <f t="shared" si="9"/>
        <v>09:00 - 13:00</v>
      </c>
      <c r="AM80" s="151">
        <v>4</v>
      </c>
      <c r="AN80" s="95">
        <f t="shared" si="14"/>
        <v>300000</v>
      </c>
      <c r="AO80" s="94" t="b">
        <v>1</v>
      </c>
      <c r="AP80" s="34">
        <f t="shared" si="10"/>
        <v>559.79999999999995</v>
      </c>
      <c r="AQ80" s="23">
        <f t="shared" si="11"/>
        <v>2</v>
      </c>
      <c r="AR80" s="35" t="s">
        <v>48</v>
      </c>
      <c r="AU80" s="46"/>
      <c r="AW80" s="63" t="str">
        <f t="shared" si="12"/>
        <v>12:13:38</v>
      </c>
      <c r="AX80" s="152"/>
      <c r="AY80" s="160">
        <v>1</v>
      </c>
      <c r="AZ80" s="10"/>
      <c r="BA80" s="104" t="str">
        <f t="shared" si="13"/>
        <v>БРАТИСЛАВСКАЯ-29К1</v>
      </c>
      <c r="BB80" s="85">
        <f>AP80*3.2+10*60</f>
        <v>2391.3599999999997</v>
      </c>
      <c r="BD80" s="123"/>
      <c r="BE80" s="117" t="s">
        <v>1315</v>
      </c>
      <c r="BF80" s="89" t="s">
        <v>1315</v>
      </c>
      <c r="BG80" s="89" t="s">
        <v>1315</v>
      </c>
      <c r="BH80" s="89" t="s">
        <v>1315</v>
      </c>
      <c r="BI80" s="89" t="s">
        <v>1315</v>
      </c>
      <c r="BJ80" s="89" t="s">
        <v>1315</v>
      </c>
      <c r="BK80" s="89">
        <v>-9.75</v>
      </c>
      <c r="BL80" s="1" t="s">
        <v>206</v>
      </c>
    </row>
    <row r="81" spans="3:64" ht="15" customHeight="1" x14ac:dyDescent="0.3">
      <c r="C81" s="1">
        <v>48</v>
      </c>
      <c r="D81" s="6">
        <v>25977</v>
      </c>
      <c r="E81" s="6">
        <v>4977</v>
      </c>
      <c r="F81" s="1" t="s">
        <v>1382</v>
      </c>
      <c r="G81" s="1" t="s">
        <v>43</v>
      </c>
      <c r="H81" s="9">
        <v>39.910000000000004</v>
      </c>
      <c r="I81" s="9">
        <v>24.69</v>
      </c>
      <c r="J81" s="9" t="s">
        <v>1315</v>
      </c>
      <c r="K81" s="1" t="s">
        <v>1730</v>
      </c>
      <c r="M81" s="2" t="s">
        <v>1915</v>
      </c>
      <c r="N81" s="1">
        <v>1</v>
      </c>
      <c r="O81" s="1">
        <v>3</v>
      </c>
      <c r="P81" s="1" t="s">
        <v>248</v>
      </c>
      <c r="Q81" s="12" t="s">
        <v>252</v>
      </c>
      <c r="R81" t="s">
        <v>2355</v>
      </c>
      <c r="S81">
        <v>2425091213</v>
      </c>
      <c r="T81">
        <v>89832676228</v>
      </c>
      <c r="U81" t="s">
        <v>2328</v>
      </c>
      <c r="V81" t="s">
        <v>2356</v>
      </c>
      <c r="W81">
        <v>9966810995</v>
      </c>
      <c r="X81" t="s">
        <v>2117</v>
      </c>
      <c r="Y81" t="s">
        <v>2325</v>
      </c>
      <c r="Z81" t="s">
        <v>2352</v>
      </c>
      <c r="AA81">
        <v>8</v>
      </c>
      <c r="AB81" s="6" t="s">
        <v>758</v>
      </c>
      <c r="AC81" s="2" t="s">
        <v>253</v>
      </c>
      <c r="AF81" s="14" t="s">
        <v>732</v>
      </c>
      <c r="AI81" s="6">
        <v>2</v>
      </c>
      <c r="AJ81" s="114" t="str">
        <f ca="1">IF((WEEKDAY(TODAY(),2))=6,"10:00","09:30")</f>
        <v>09:30</v>
      </c>
      <c r="AK81" s="142" t="str">
        <f>IF(AP81&gt;2000,"15:00",IF(AP81&lt;1000,"16:30","16:00"))</f>
        <v>16:00</v>
      </c>
      <c r="AL81" s="58" t="str">
        <f t="shared" ca="1" si="9"/>
        <v>09:30 - 16:00</v>
      </c>
      <c r="AM81" s="151">
        <v>4</v>
      </c>
      <c r="AN81" s="95">
        <f t="shared" si="14"/>
        <v>413440</v>
      </c>
      <c r="AO81" s="94" t="b">
        <v>1</v>
      </c>
      <c r="AP81" s="34">
        <f t="shared" si="10"/>
        <v>1292</v>
      </c>
      <c r="AQ81" s="23">
        <f t="shared" si="11"/>
        <v>3</v>
      </c>
      <c r="AR81" s="35" t="s">
        <v>48</v>
      </c>
      <c r="AU81" s="46"/>
      <c r="AW81" s="63" t="str">
        <f t="shared" ca="1" si="12"/>
        <v>13:12:42</v>
      </c>
      <c r="AX81" s="152"/>
      <c r="AY81" s="160">
        <v>2</v>
      </c>
      <c r="AZ81" s="10"/>
      <c r="BA81" s="104" t="str">
        <f t="shared" si="13"/>
        <v>НОВЫЕ-КОТЕЛЬНИКИ-16</v>
      </c>
      <c r="BB81" s="87">
        <f>AP81*3.5+10*60</f>
        <v>5122</v>
      </c>
      <c r="BD81" s="123"/>
      <c r="BE81" s="117" t="s">
        <v>1315</v>
      </c>
      <c r="BF81" s="89" t="s">
        <v>1315</v>
      </c>
      <c r="BG81" s="89" t="s">
        <v>1315</v>
      </c>
      <c r="BH81" s="89" t="s">
        <v>1315</v>
      </c>
      <c r="BI81" s="89" t="s">
        <v>1315</v>
      </c>
      <c r="BJ81" s="89" t="s">
        <v>1315</v>
      </c>
      <c r="BK81" s="89" t="s">
        <v>1315</v>
      </c>
      <c r="BL81" s="1" t="s">
        <v>251</v>
      </c>
    </row>
    <row r="82" spans="3:64" ht="15" customHeight="1" x14ac:dyDescent="0.3">
      <c r="C82" s="1">
        <v>382</v>
      </c>
      <c r="D82" s="6">
        <v>7227</v>
      </c>
      <c r="E82" s="84">
        <v>4227</v>
      </c>
      <c r="F82" s="54" t="s">
        <v>1548</v>
      </c>
      <c r="G82" s="8" t="s">
        <v>50</v>
      </c>
      <c r="H82" s="9">
        <v>23.61</v>
      </c>
      <c r="I82" s="9">
        <v>6.67</v>
      </c>
      <c r="J82" s="9" t="s">
        <v>1315</v>
      </c>
      <c r="K82" s="1" t="s">
        <v>1730</v>
      </c>
      <c r="M82" s="2" t="s">
        <v>1921</v>
      </c>
      <c r="N82" s="1">
        <v>1</v>
      </c>
      <c r="O82" s="1">
        <v>4</v>
      </c>
      <c r="P82" s="1" t="s">
        <v>51</v>
      </c>
      <c r="Q82" s="10" t="s">
        <v>1260</v>
      </c>
      <c r="R82" t="s">
        <v>2355</v>
      </c>
      <c r="S82">
        <v>2425091213</v>
      </c>
      <c r="T82">
        <v>89832676228</v>
      </c>
      <c r="U82" t="s">
        <v>2328</v>
      </c>
      <c r="V82" t="s">
        <v>2356</v>
      </c>
      <c r="W82">
        <v>9966810995</v>
      </c>
      <c r="X82" t="s">
        <v>2117</v>
      </c>
      <c r="Y82" t="s">
        <v>2325</v>
      </c>
      <c r="Z82" t="s">
        <v>2352</v>
      </c>
      <c r="AA82">
        <v>8</v>
      </c>
      <c r="AB82" s="6" t="s">
        <v>913</v>
      </c>
      <c r="AC82" s="10" t="s">
        <v>1261</v>
      </c>
      <c r="AF82" s="18" t="s">
        <v>732</v>
      </c>
      <c r="AH82" s="27"/>
      <c r="AI82" s="6">
        <v>2</v>
      </c>
      <c r="AJ82" s="114" t="str">
        <f ca="1">IF((WEEKDAY(TODAY(),2))=6,"10:00","09:30")</f>
        <v>09:30</v>
      </c>
      <c r="AK82" s="142" t="str">
        <f>IF(AP82&gt;2000,"15:00",IF(AP82&lt;1000,"16:30","16:00"))</f>
        <v>16:30</v>
      </c>
      <c r="AL82" s="58" t="str">
        <f t="shared" ca="1" si="9"/>
        <v>09:30 - 16:30</v>
      </c>
      <c r="AM82" s="151">
        <v>3</v>
      </c>
      <c r="AN82" s="95">
        <f t="shared" si="14"/>
        <v>300000</v>
      </c>
      <c r="AO82" s="94" t="b">
        <v>1</v>
      </c>
      <c r="AP82" s="34">
        <f t="shared" si="10"/>
        <v>605.6</v>
      </c>
      <c r="AQ82" s="23">
        <f t="shared" si="11"/>
        <v>2</v>
      </c>
      <c r="AR82" s="35" t="s">
        <v>48</v>
      </c>
      <c r="AW82" s="63" t="str">
        <f t="shared" ca="1" si="12"/>
        <v>15:43:10</v>
      </c>
      <c r="AX82" s="152"/>
      <c r="AY82" s="160">
        <v>2</v>
      </c>
      <c r="AZ82" s="10"/>
      <c r="BA82" s="104" t="str">
        <f t="shared" si="13"/>
        <v>М-РОКОССОВСКОГО-Б-Р-7</v>
      </c>
      <c r="BB82" s="87">
        <f>AP82*3.3+10*60</f>
        <v>2598.48</v>
      </c>
      <c r="BD82" s="123"/>
      <c r="BE82" s="117" t="s">
        <v>1315</v>
      </c>
      <c r="BF82" s="89" t="s">
        <v>1315</v>
      </c>
      <c r="BG82" s="89" t="s">
        <v>1315</v>
      </c>
      <c r="BH82" s="89" t="s">
        <v>1315</v>
      </c>
      <c r="BI82" s="89" t="s">
        <v>1315</v>
      </c>
      <c r="BJ82" s="89" t="s">
        <v>1315</v>
      </c>
      <c r="BK82" s="89" t="s">
        <v>1315</v>
      </c>
      <c r="BL82" s="54" t="s">
        <v>1259</v>
      </c>
    </row>
    <row r="83" spans="3:64" ht="15" customHeight="1" x14ac:dyDescent="0.3">
      <c r="C83" s="1">
        <v>282</v>
      </c>
      <c r="D83" s="6">
        <v>76</v>
      </c>
      <c r="E83" s="6">
        <v>7076</v>
      </c>
      <c r="F83" s="1" t="s">
        <v>1643</v>
      </c>
      <c r="G83" s="8" t="s">
        <v>50</v>
      </c>
      <c r="H83" s="9">
        <v>28.04</v>
      </c>
      <c r="I83" s="9">
        <v>6.59</v>
      </c>
      <c r="J83" s="9" t="s">
        <v>1786</v>
      </c>
      <c r="K83" s="1" t="s">
        <v>1710</v>
      </c>
      <c r="M83" s="2" t="s">
        <v>1328</v>
      </c>
      <c r="N83" s="1">
        <v>1</v>
      </c>
      <c r="O83" s="1">
        <v>1</v>
      </c>
      <c r="P83" s="1" t="s">
        <v>51</v>
      </c>
      <c r="Q83" s="10" t="s">
        <v>141</v>
      </c>
      <c r="R83" t="s">
        <v>2357</v>
      </c>
      <c r="S83">
        <v>9940737150</v>
      </c>
      <c r="T83">
        <v>89151518287</v>
      </c>
      <c r="U83" t="s">
        <v>2328</v>
      </c>
      <c r="V83" t="s">
        <v>2358</v>
      </c>
      <c r="W83">
        <v>9943505375</v>
      </c>
      <c r="X83" t="s">
        <v>2117</v>
      </c>
      <c r="Y83" t="s">
        <v>2325</v>
      </c>
      <c r="Z83" t="s">
        <v>2352</v>
      </c>
      <c r="AA83">
        <v>8</v>
      </c>
      <c r="AB83" s="6" t="s">
        <v>877</v>
      </c>
      <c r="AC83" s="2" t="s">
        <v>142</v>
      </c>
      <c r="AF83" s="168" t="s">
        <v>1681</v>
      </c>
      <c r="AI83" s="6">
        <v>2</v>
      </c>
      <c r="AJ83" s="13" t="s">
        <v>1328</v>
      </c>
      <c r="AK83" s="142" t="str">
        <f>IF(AP83&gt;2000,"15:00",IF(AP83&lt;1000,"16:30","16:00"))</f>
        <v>16:30</v>
      </c>
      <c r="AL83" s="58" t="str">
        <f t="shared" si="9"/>
        <v>09:00 - 16:30</v>
      </c>
      <c r="AM83" s="151">
        <v>2</v>
      </c>
      <c r="AN83" s="95">
        <f t="shared" si="14"/>
        <v>300000</v>
      </c>
      <c r="AO83" s="94" t="b">
        <v>1</v>
      </c>
      <c r="AP83" s="34">
        <f t="shared" si="10"/>
        <v>692.59999999999991</v>
      </c>
      <c r="AQ83" s="23">
        <f t="shared" si="11"/>
        <v>2</v>
      </c>
      <c r="AR83" s="35" t="s">
        <v>48</v>
      </c>
      <c r="AW83" s="63" t="str">
        <f t="shared" si="12"/>
        <v>09:00</v>
      </c>
      <c r="AX83" s="172"/>
      <c r="AY83" s="160">
        <v>2</v>
      </c>
      <c r="AZ83" s="10"/>
      <c r="BA83" s="104" t="str">
        <f t="shared" si="13"/>
        <v>АК-КОРОЛЕВА-3</v>
      </c>
      <c r="BB83" s="87">
        <f>AP83*3.5+10*60</f>
        <v>3024.0999999999995</v>
      </c>
      <c r="BD83" s="123"/>
      <c r="BE83" s="117" t="s">
        <v>1315</v>
      </c>
      <c r="BF83" s="89" t="s">
        <v>1315</v>
      </c>
      <c r="BG83" s="89" t="s">
        <v>1315</v>
      </c>
      <c r="BH83" s="89" t="s">
        <v>1315</v>
      </c>
      <c r="BI83" s="89" t="s">
        <v>1315</v>
      </c>
      <c r="BJ83" s="89" t="s">
        <v>1315</v>
      </c>
      <c r="BK83" s="89" t="s">
        <v>1315</v>
      </c>
      <c r="BL83" s="1" t="s">
        <v>140</v>
      </c>
    </row>
    <row r="84" spans="3:64" ht="15" customHeight="1" x14ac:dyDescent="0.3">
      <c r="C84" s="1">
        <v>299</v>
      </c>
      <c r="D84" s="6">
        <v>783</v>
      </c>
      <c r="E84" s="6">
        <v>4783</v>
      </c>
      <c r="F84" s="36" t="s">
        <v>1525</v>
      </c>
      <c r="G84" s="8" t="s">
        <v>50</v>
      </c>
      <c r="H84" s="9">
        <v>8.2100000000000009</v>
      </c>
      <c r="I84" s="9">
        <v>2.4700000000000002</v>
      </c>
      <c r="J84" s="9" t="s">
        <v>1315</v>
      </c>
      <c r="K84" s="1" t="s">
        <v>1710</v>
      </c>
      <c r="M84" s="2" t="s">
        <v>1863</v>
      </c>
      <c r="N84" s="1">
        <v>1</v>
      </c>
      <c r="O84" s="1">
        <v>2</v>
      </c>
      <c r="P84" s="1" t="s">
        <v>51</v>
      </c>
      <c r="Q84" s="10" t="s">
        <v>58</v>
      </c>
      <c r="R84" t="s">
        <v>2357</v>
      </c>
      <c r="S84">
        <v>9940737150</v>
      </c>
      <c r="T84">
        <v>89151518287</v>
      </c>
      <c r="U84" t="s">
        <v>2328</v>
      </c>
      <c r="V84" t="s">
        <v>2358</v>
      </c>
      <c r="W84">
        <v>9943505375</v>
      </c>
      <c r="X84" t="s">
        <v>2117</v>
      </c>
      <c r="Y84" t="s">
        <v>2325</v>
      </c>
      <c r="Z84" t="s">
        <v>2352</v>
      </c>
      <c r="AA84">
        <v>8</v>
      </c>
      <c r="AB84" s="6" t="s">
        <v>881</v>
      </c>
      <c r="AC84" s="2" t="s">
        <v>59</v>
      </c>
      <c r="AF84" s="153" t="s">
        <v>1672</v>
      </c>
      <c r="AI84" s="6">
        <v>2</v>
      </c>
      <c r="AJ84" s="13" t="s">
        <v>1328</v>
      </c>
      <c r="AK84" s="58">
        <v>0.54166666666666696</v>
      </c>
      <c r="AL84" s="58" t="str">
        <f t="shared" si="9"/>
        <v>09:00 - 13:00</v>
      </c>
      <c r="AM84" s="151">
        <v>2</v>
      </c>
      <c r="AN84" s="95">
        <f t="shared" si="14"/>
        <v>300000</v>
      </c>
      <c r="AO84" s="94" t="b">
        <v>1</v>
      </c>
      <c r="AP84" s="34">
        <f t="shared" si="10"/>
        <v>213.60000000000002</v>
      </c>
      <c r="AQ84" s="23">
        <f t="shared" si="11"/>
        <v>1</v>
      </c>
      <c r="AR84" s="35" t="s">
        <v>48</v>
      </c>
      <c r="AW84" s="63" t="str">
        <f t="shared" si="12"/>
        <v>10:06:18</v>
      </c>
      <c r="AX84" s="172"/>
      <c r="AY84" s="160">
        <v>1</v>
      </c>
      <c r="AZ84" s="10"/>
      <c r="BA84" s="104" t="str">
        <f t="shared" si="13"/>
        <v>ЛАЗОРЕВЫЙ-ПР-Д-5К4</v>
      </c>
      <c r="BB84" s="85">
        <f>AP84*3.2+10*60</f>
        <v>1283.52</v>
      </c>
      <c r="BD84" s="123"/>
      <c r="BE84" s="117" t="s">
        <v>1315</v>
      </c>
      <c r="BF84" s="89">
        <v>18.252000000000002</v>
      </c>
      <c r="BG84" s="89" t="s">
        <v>1315</v>
      </c>
      <c r="BH84" s="89" t="s">
        <v>1315</v>
      </c>
      <c r="BI84" s="89" t="s">
        <v>1315</v>
      </c>
      <c r="BJ84" s="89" t="s">
        <v>1315</v>
      </c>
      <c r="BK84" s="89">
        <v>2.5213333333333381</v>
      </c>
      <c r="BL84" s="36" t="s">
        <v>56</v>
      </c>
    </row>
    <row r="85" spans="3:64" ht="15" customHeight="1" x14ac:dyDescent="0.3">
      <c r="C85" s="1">
        <v>352</v>
      </c>
      <c r="D85" s="6">
        <v>25980</v>
      </c>
      <c r="E85" s="6">
        <v>4980</v>
      </c>
      <c r="F85" s="10" t="s">
        <v>1544</v>
      </c>
      <c r="G85" s="8" t="s">
        <v>43</v>
      </c>
      <c r="H85" s="9">
        <v>48.47</v>
      </c>
      <c r="I85" s="9">
        <v>17.440000000000001</v>
      </c>
      <c r="J85" s="9" t="s">
        <v>1315</v>
      </c>
      <c r="K85" s="1" t="s">
        <v>1710</v>
      </c>
      <c r="M85" s="2" t="s">
        <v>1905</v>
      </c>
      <c r="N85" s="1">
        <v>1</v>
      </c>
      <c r="O85" s="1">
        <v>3</v>
      </c>
      <c r="P85" s="1" t="s">
        <v>466</v>
      </c>
      <c r="Q85" s="10" t="s">
        <v>1215</v>
      </c>
      <c r="R85" t="s">
        <v>2357</v>
      </c>
      <c r="S85">
        <v>9940737150</v>
      </c>
      <c r="T85">
        <v>89151518287</v>
      </c>
      <c r="U85" t="s">
        <v>2328</v>
      </c>
      <c r="V85" t="s">
        <v>2358</v>
      </c>
      <c r="W85">
        <v>9943505375</v>
      </c>
      <c r="X85" t="s">
        <v>2117</v>
      </c>
      <c r="Y85" t="s">
        <v>2325</v>
      </c>
      <c r="Z85" t="s">
        <v>2352</v>
      </c>
      <c r="AA85">
        <v>8</v>
      </c>
      <c r="AB85" s="6" t="s">
        <v>906</v>
      </c>
      <c r="AC85" s="2" t="s">
        <v>474</v>
      </c>
      <c r="AF85" s="156" t="s">
        <v>1681</v>
      </c>
      <c r="AI85" s="6">
        <v>2</v>
      </c>
      <c r="AJ85" s="114" t="str">
        <f ca="1">IF((WEEKDAY(TODAY(),2))=6,"10:00","09:00")</f>
        <v>09:00</v>
      </c>
      <c r="AK85" s="142" t="str">
        <f>IF(AP85&gt;2000,"15:00",IF(AP85&lt;1000,"16:30","16:00"))</f>
        <v>16:00</v>
      </c>
      <c r="AL85" s="58" t="str">
        <f t="shared" ca="1" si="9"/>
        <v>09:00 - 16:00</v>
      </c>
      <c r="AM85" s="151">
        <v>2</v>
      </c>
      <c r="AN85" s="95">
        <f t="shared" si="14"/>
        <v>421824</v>
      </c>
      <c r="AO85" s="94" t="b">
        <v>1</v>
      </c>
      <c r="AP85" s="34">
        <f t="shared" si="10"/>
        <v>1318.2</v>
      </c>
      <c r="AQ85" s="23">
        <f t="shared" si="11"/>
        <v>3</v>
      </c>
      <c r="AR85" s="35" t="s">
        <v>48</v>
      </c>
      <c r="AW85" s="63" t="str">
        <f t="shared" ca="1" si="12"/>
        <v>11:01:21</v>
      </c>
      <c r="AX85" s="172"/>
      <c r="AY85" s="160">
        <v>2</v>
      </c>
      <c r="AZ85" s="10"/>
      <c r="BA85" s="104" t="str">
        <f t="shared" si="13"/>
        <v>КОРОЛЕВ-ЛЕНИНСКАЯ-11А</v>
      </c>
      <c r="BB85" s="85">
        <f>AP85*3.2+10*60</f>
        <v>4818.2400000000007</v>
      </c>
      <c r="BD85" s="123"/>
      <c r="BE85" s="117" t="s">
        <v>1315</v>
      </c>
      <c r="BF85" s="89" t="s">
        <v>1315</v>
      </c>
      <c r="BG85" s="89" t="s">
        <v>1315</v>
      </c>
      <c r="BH85" s="89" t="s">
        <v>1315</v>
      </c>
      <c r="BI85" s="89" t="s">
        <v>1315</v>
      </c>
      <c r="BJ85" s="89" t="s">
        <v>1315</v>
      </c>
      <c r="BK85" s="89" t="s">
        <v>1315</v>
      </c>
      <c r="BL85" s="10" t="s">
        <v>473</v>
      </c>
    </row>
    <row r="86" spans="3:64" ht="15" customHeight="1" x14ac:dyDescent="0.3">
      <c r="C86" s="1">
        <v>351</v>
      </c>
      <c r="D86" s="6">
        <v>25981</v>
      </c>
      <c r="E86" s="6">
        <v>4981</v>
      </c>
      <c r="F86" s="17" t="s">
        <v>1543</v>
      </c>
      <c r="G86" s="8" t="s">
        <v>43</v>
      </c>
      <c r="H86" s="9">
        <v>25.44</v>
      </c>
      <c r="I86" s="9">
        <v>10.25</v>
      </c>
      <c r="J86" s="9" t="s">
        <v>1315</v>
      </c>
      <c r="K86" s="1" t="s">
        <v>1710</v>
      </c>
      <c r="M86" s="2" t="s">
        <v>1904</v>
      </c>
      <c r="N86" s="1">
        <v>1</v>
      </c>
      <c r="O86" s="1">
        <v>4</v>
      </c>
      <c r="P86" s="1" t="s">
        <v>466</v>
      </c>
      <c r="Q86" s="10" t="s">
        <v>471</v>
      </c>
      <c r="R86" t="s">
        <v>2357</v>
      </c>
      <c r="S86">
        <v>9940737150</v>
      </c>
      <c r="T86">
        <v>89151518287</v>
      </c>
      <c r="U86" t="s">
        <v>2328</v>
      </c>
      <c r="V86" t="s">
        <v>2358</v>
      </c>
      <c r="W86">
        <v>9943505375</v>
      </c>
      <c r="X86" t="s">
        <v>2117</v>
      </c>
      <c r="Y86" t="s">
        <v>2325</v>
      </c>
      <c r="Z86" t="s">
        <v>2352</v>
      </c>
      <c r="AA86">
        <v>8</v>
      </c>
      <c r="AB86" s="6" t="s">
        <v>905</v>
      </c>
      <c r="AC86" s="2" t="s">
        <v>472</v>
      </c>
      <c r="AF86" s="153" t="s">
        <v>1672</v>
      </c>
      <c r="AI86" s="6">
        <v>2</v>
      </c>
      <c r="AJ86" s="114" t="str">
        <f ca="1">IF((WEEKDAY(TODAY(),2))=6,"10:00","09:00")</f>
        <v>09:00</v>
      </c>
      <c r="AK86" s="142" t="str">
        <f>IF(AP86&gt;2000,"15:00",IF(AP86&lt;1000,"16:30","16:00"))</f>
        <v>16:30</v>
      </c>
      <c r="AL86" s="58" t="str">
        <f t="shared" ca="1" si="9"/>
        <v>09:00 - 16:30</v>
      </c>
      <c r="AM86" s="151">
        <v>2</v>
      </c>
      <c r="AN86" s="95">
        <f t="shared" si="14"/>
        <v>300000</v>
      </c>
      <c r="AO86" s="94" t="b">
        <v>1</v>
      </c>
      <c r="AP86" s="34">
        <f t="shared" si="10"/>
        <v>713.8</v>
      </c>
      <c r="AQ86" s="23">
        <f t="shared" si="11"/>
        <v>2</v>
      </c>
      <c r="AR86" s="35" t="s">
        <v>48</v>
      </c>
      <c r="AW86" s="63" t="str">
        <f t="shared" ca="1" si="12"/>
        <v>12:29:13</v>
      </c>
      <c r="AX86" s="172"/>
      <c r="AY86" s="160">
        <v>2</v>
      </c>
      <c r="AZ86" s="10"/>
      <c r="BA86" s="104" t="str">
        <f t="shared" si="13"/>
        <v>КОРОЛЕВ-М-К-ТИХОНРАВОВА-35К7</v>
      </c>
      <c r="BB86" s="85">
        <f>AP86*3.4+10*60</f>
        <v>3026.9199999999996</v>
      </c>
      <c r="BD86" s="123"/>
      <c r="BE86" s="117" t="s">
        <v>1315</v>
      </c>
      <c r="BF86" s="89">
        <v>-11.404000000000003</v>
      </c>
      <c r="BG86" s="89" t="s">
        <v>1315</v>
      </c>
      <c r="BH86" s="89" t="s">
        <v>1315</v>
      </c>
      <c r="BI86" s="89" t="s">
        <v>1315</v>
      </c>
      <c r="BJ86" s="89" t="s">
        <v>1315</v>
      </c>
      <c r="BK86" s="89" t="s">
        <v>1315</v>
      </c>
      <c r="BL86" s="17" t="s">
        <v>470</v>
      </c>
    </row>
    <row r="87" spans="3:64" ht="15" customHeight="1" x14ac:dyDescent="0.3">
      <c r="C87" s="1">
        <v>390</v>
      </c>
      <c r="D87" s="6">
        <v>50720</v>
      </c>
      <c r="E87" s="6">
        <v>4720</v>
      </c>
      <c r="F87" s="1" t="s">
        <v>1554</v>
      </c>
      <c r="G87" s="8" t="s">
        <v>43</v>
      </c>
      <c r="H87" s="9">
        <v>57.400000000000006</v>
      </c>
      <c r="I87" s="9">
        <v>18.010000000000002</v>
      </c>
      <c r="J87" s="179" t="s">
        <v>2090</v>
      </c>
      <c r="K87" s="1" t="s">
        <v>1719</v>
      </c>
      <c r="M87" s="2" t="s">
        <v>1906</v>
      </c>
      <c r="N87" s="1">
        <v>1</v>
      </c>
      <c r="O87" s="1">
        <v>1</v>
      </c>
      <c r="P87" s="1" t="s">
        <v>487</v>
      </c>
      <c r="Q87" s="10" t="s">
        <v>1192</v>
      </c>
      <c r="R87" t="s">
        <v>2359</v>
      </c>
      <c r="S87" t="s">
        <v>2360</v>
      </c>
      <c r="T87" t="s">
        <v>2361</v>
      </c>
      <c r="U87" t="s">
        <v>2328</v>
      </c>
      <c r="V87" t="s">
        <v>2362</v>
      </c>
      <c r="W87">
        <v>9937109192</v>
      </c>
      <c r="X87" t="s">
        <v>2117</v>
      </c>
      <c r="Y87" t="s">
        <v>2325</v>
      </c>
      <c r="Z87" t="s">
        <v>2352</v>
      </c>
      <c r="AA87">
        <v>8</v>
      </c>
      <c r="AB87" s="6" t="s">
        <v>919</v>
      </c>
      <c r="AC87" s="2" t="s">
        <v>499</v>
      </c>
      <c r="AF87" s="14" t="s">
        <v>732</v>
      </c>
      <c r="AI87" s="6">
        <v>2</v>
      </c>
      <c r="AJ87" s="114" t="str">
        <f ca="1">IF((WEEKDAY(TODAY(),2))=6,"10:00","09:00")</f>
        <v>09:00</v>
      </c>
      <c r="AK87" s="58">
        <v>0.54166666666666696</v>
      </c>
      <c r="AL87" s="58" t="str">
        <f t="shared" ca="1" si="9"/>
        <v>09:00 - 13:00</v>
      </c>
      <c r="AM87" s="151">
        <v>3</v>
      </c>
      <c r="AN87" s="95">
        <f t="shared" si="14"/>
        <v>482624</v>
      </c>
      <c r="AO87" s="94" t="b">
        <v>1</v>
      </c>
      <c r="AP87" s="34">
        <f t="shared" si="10"/>
        <v>1508.2</v>
      </c>
      <c r="AQ87" s="23">
        <f t="shared" si="11"/>
        <v>3</v>
      </c>
      <c r="AR87" s="35" t="s">
        <v>48</v>
      </c>
      <c r="AW87" s="63" t="str">
        <f t="shared" ca="1" si="12"/>
        <v>12:08:40</v>
      </c>
      <c r="AX87" s="152"/>
      <c r="AY87" s="160">
        <v>1</v>
      </c>
      <c r="AZ87" s="10"/>
      <c r="BA87" s="104" t="str">
        <f t="shared" si="13"/>
        <v>БАЛАШИХА-ПЕРВОМАЙСКИЙ-ПР-Д-1</v>
      </c>
      <c r="BB87" s="85">
        <f>AP87*4.2+10*60</f>
        <v>6934.4400000000005</v>
      </c>
      <c r="BD87" s="123"/>
      <c r="BE87" s="117" t="s">
        <v>1315</v>
      </c>
      <c r="BF87" s="89" t="s">
        <v>1315</v>
      </c>
      <c r="BG87" s="89" t="s">
        <v>1315</v>
      </c>
      <c r="BH87" s="89" t="s">
        <v>1315</v>
      </c>
      <c r="BI87" s="89">
        <v>-31.021333333333331</v>
      </c>
      <c r="BJ87" s="89" t="s">
        <v>1315</v>
      </c>
      <c r="BK87" s="89" t="s">
        <v>1315</v>
      </c>
      <c r="BL87" s="1" t="s">
        <v>498</v>
      </c>
    </row>
    <row r="88" spans="3:64" ht="15" customHeight="1" x14ac:dyDescent="0.3">
      <c r="C88" s="1">
        <v>388</v>
      </c>
      <c r="D88" s="6">
        <v>507057</v>
      </c>
      <c r="E88" s="6">
        <v>4057</v>
      </c>
      <c r="F88" s="36" t="s">
        <v>1552</v>
      </c>
      <c r="G88" s="8" t="s">
        <v>43</v>
      </c>
      <c r="H88" s="9">
        <v>55.69</v>
      </c>
      <c r="I88" s="9">
        <v>15.37</v>
      </c>
      <c r="J88" s="9" t="s">
        <v>1315</v>
      </c>
      <c r="K88" s="1" t="s">
        <v>1719</v>
      </c>
      <c r="M88" s="2" t="s">
        <v>1886</v>
      </c>
      <c r="N88" s="1">
        <v>1</v>
      </c>
      <c r="O88" s="1">
        <v>2</v>
      </c>
      <c r="P88" s="1" t="s">
        <v>489</v>
      </c>
      <c r="Q88" s="10" t="s">
        <v>703</v>
      </c>
      <c r="R88" t="s">
        <v>2359</v>
      </c>
      <c r="S88" t="s">
        <v>2360</v>
      </c>
      <c r="T88" t="s">
        <v>2361</v>
      </c>
      <c r="U88" t="s">
        <v>2328</v>
      </c>
      <c r="V88" t="s">
        <v>2362</v>
      </c>
      <c r="W88">
        <v>9937109192</v>
      </c>
      <c r="X88" t="s">
        <v>2117</v>
      </c>
      <c r="Y88" t="s">
        <v>2325</v>
      </c>
      <c r="Z88" t="s">
        <v>2352</v>
      </c>
      <c r="AA88">
        <v>8</v>
      </c>
      <c r="AB88" s="6" t="s">
        <v>917</v>
      </c>
      <c r="AC88" s="2" t="s">
        <v>704</v>
      </c>
      <c r="AF88" s="15" t="s">
        <v>1672</v>
      </c>
      <c r="AH88" s="26"/>
      <c r="AI88" s="6">
        <v>2</v>
      </c>
      <c r="AJ88" s="114" t="str">
        <f ca="1">IF((WEEKDAY(TODAY(),2))=6,"10:00","09:00")</f>
        <v>09:00</v>
      </c>
      <c r="AK88" s="142" t="str">
        <f>IF(AP88&gt;2000,"15:00",IF(AP88&lt;1000,"16:30","16:00"))</f>
        <v>16:00</v>
      </c>
      <c r="AL88" s="58" t="str">
        <f t="shared" ca="1" si="9"/>
        <v>09:00 - 16:00</v>
      </c>
      <c r="AM88" s="151">
        <v>3</v>
      </c>
      <c r="AN88" s="95">
        <f t="shared" si="14"/>
        <v>454783.99999999994</v>
      </c>
      <c r="AO88" s="94" t="b">
        <v>1</v>
      </c>
      <c r="AP88" s="34">
        <f t="shared" si="10"/>
        <v>1421.1999999999998</v>
      </c>
      <c r="AQ88" s="23">
        <f t="shared" si="11"/>
        <v>3</v>
      </c>
      <c r="AR88" s="35" t="s">
        <v>48</v>
      </c>
      <c r="AS88" s="6"/>
      <c r="AT88" s="3"/>
      <c r="AW88" s="63" t="str">
        <f t="shared" ca="1" si="12"/>
        <v>15:00:57</v>
      </c>
      <c r="AX88" s="152"/>
      <c r="AY88" s="160">
        <v>2</v>
      </c>
      <c r="AZ88" s="10"/>
      <c r="BA88" s="104" t="str">
        <f t="shared" si="13"/>
        <v>ЩЕЛКОВО-ПОТАПОВСКИЙ-МКР-1К2</v>
      </c>
      <c r="BB88" s="87">
        <f>AP88*3.5+10*60</f>
        <v>5574.1999999999989</v>
      </c>
      <c r="BD88" s="123"/>
      <c r="BE88" s="117" t="s">
        <v>1315</v>
      </c>
      <c r="BF88" s="89" t="s">
        <v>1315</v>
      </c>
      <c r="BG88" s="89" t="s">
        <v>1315</v>
      </c>
      <c r="BH88" s="89" t="s">
        <v>1315</v>
      </c>
      <c r="BI88" s="89" t="s">
        <v>1315</v>
      </c>
      <c r="BJ88" s="89" t="s">
        <v>1315</v>
      </c>
      <c r="BK88" s="89" t="s">
        <v>1315</v>
      </c>
      <c r="BL88" s="36" t="s">
        <v>702</v>
      </c>
    </row>
    <row r="89" spans="3:64" ht="15" customHeight="1" x14ac:dyDescent="0.3">
      <c r="C89" s="1">
        <v>295</v>
      </c>
      <c r="D89" s="6">
        <v>7149</v>
      </c>
      <c r="E89" s="6">
        <v>4149</v>
      </c>
      <c r="F89" s="40" t="s">
        <v>1524</v>
      </c>
      <c r="G89" s="8" t="s">
        <v>50</v>
      </c>
      <c r="H89" s="9">
        <v>14.870000000000001</v>
      </c>
      <c r="I89" s="9">
        <v>10.79</v>
      </c>
      <c r="J89" s="9" t="s">
        <v>1783</v>
      </c>
      <c r="K89" s="1" t="s">
        <v>1711</v>
      </c>
      <c r="M89" s="2" t="s">
        <v>1329</v>
      </c>
      <c r="N89" s="1">
        <v>1</v>
      </c>
      <c r="O89" s="1">
        <v>1</v>
      </c>
      <c r="P89" s="1" t="s">
        <v>51</v>
      </c>
      <c r="Q89" s="10" t="s">
        <v>1120</v>
      </c>
      <c r="R89" t="s">
        <v>2363</v>
      </c>
      <c r="S89">
        <v>9940059224</v>
      </c>
      <c r="T89">
        <v>89257960401</v>
      </c>
      <c r="U89" t="s">
        <v>2328</v>
      </c>
      <c r="V89" t="s">
        <v>2364</v>
      </c>
      <c r="W89">
        <v>9943505471</v>
      </c>
      <c r="X89" t="s">
        <v>2117</v>
      </c>
      <c r="Y89" t="s">
        <v>2325</v>
      </c>
      <c r="Z89" t="s">
        <v>2352</v>
      </c>
      <c r="AA89">
        <v>8</v>
      </c>
      <c r="AB89" s="6" t="s">
        <v>880</v>
      </c>
      <c r="AC89" s="2" t="s">
        <v>1119</v>
      </c>
      <c r="AF89" s="153" t="s">
        <v>1672</v>
      </c>
      <c r="AI89" s="6">
        <v>2</v>
      </c>
      <c r="AJ89" s="145" t="s">
        <v>1329</v>
      </c>
      <c r="AK89" s="162">
        <v>0.75</v>
      </c>
      <c r="AL89" s="58" t="str">
        <f t="shared" si="9"/>
        <v>09:30 - 18:00</v>
      </c>
      <c r="AM89" s="151">
        <v>2</v>
      </c>
      <c r="AN89" s="95">
        <f t="shared" si="14"/>
        <v>300000</v>
      </c>
      <c r="AO89" s="94" t="b">
        <v>1</v>
      </c>
      <c r="AP89" s="34">
        <f t="shared" si="10"/>
        <v>513.20000000000005</v>
      </c>
      <c r="AQ89" s="23">
        <f t="shared" si="11"/>
        <v>1</v>
      </c>
      <c r="AR89" s="35" t="s">
        <v>48</v>
      </c>
      <c r="AW89" s="63" t="str">
        <f t="shared" si="12"/>
        <v>09:30</v>
      </c>
      <c r="AX89" s="172"/>
      <c r="AY89" s="160">
        <v>3</v>
      </c>
      <c r="AZ89" s="10"/>
      <c r="BA89" s="104" t="str">
        <f t="shared" si="13"/>
        <v>КОЛЬСКАЯ-8К2</v>
      </c>
      <c r="BB89" s="87">
        <f>AP89*3.5+10*60</f>
        <v>2396.2000000000003</v>
      </c>
      <c r="BD89" s="123"/>
      <c r="BE89" s="117" t="s">
        <v>1315</v>
      </c>
      <c r="BF89" s="89">
        <v>-3.9333333333333371</v>
      </c>
      <c r="BG89" s="89" t="s">
        <v>1315</v>
      </c>
      <c r="BH89" s="89" t="s">
        <v>1315</v>
      </c>
      <c r="BI89" s="89" t="s">
        <v>1315</v>
      </c>
      <c r="BJ89" s="89" t="s">
        <v>1315</v>
      </c>
      <c r="BK89" s="89" t="s">
        <v>1315</v>
      </c>
      <c r="BL89" s="40" t="s">
        <v>1121</v>
      </c>
    </row>
    <row r="90" spans="3:64" ht="15" customHeight="1" x14ac:dyDescent="0.3">
      <c r="C90" s="1">
        <v>353</v>
      </c>
      <c r="D90" s="6">
        <v>50968</v>
      </c>
      <c r="E90" s="6">
        <v>4968</v>
      </c>
      <c r="F90" s="36" t="s">
        <v>1545</v>
      </c>
      <c r="G90" s="8" t="s">
        <v>43</v>
      </c>
      <c r="H90" s="9">
        <v>89.88000000000001</v>
      </c>
      <c r="I90" s="9">
        <v>30.130000000000003</v>
      </c>
      <c r="J90" s="9" t="s">
        <v>1315</v>
      </c>
      <c r="K90" s="1" t="s">
        <v>1711</v>
      </c>
      <c r="M90" s="2" t="s">
        <v>1877</v>
      </c>
      <c r="N90" s="1">
        <v>1</v>
      </c>
      <c r="O90" s="1">
        <v>2</v>
      </c>
      <c r="P90" s="1" t="s">
        <v>476</v>
      </c>
      <c r="Q90" s="10" t="s">
        <v>477</v>
      </c>
      <c r="R90" t="s">
        <v>2363</v>
      </c>
      <c r="S90">
        <v>9940059224</v>
      </c>
      <c r="T90">
        <v>89257960401</v>
      </c>
      <c r="U90" t="s">
        <v>2328</v>
      </c>
      <c r="V90" t="s">
        <v>2364</v>
      </c>
      <c r="W90">
        <v>9943505471</v>
      </c>
      <c r="X90" t="s">
        <v>2117</v>
      </c>
      <c r="Y90" t="s">
        <v>2325</v>
      </c>
      <c r="Z90" t="s">
        <v>2352</v>
      </c>
      <c r="AA90">
        <v>8</v>
      </c>
      <c r="AB90" s="6" t="s">
        <v>907</v>
      </c>
      <c r="AC90" s="2" t="s">
        <v>478</v>
      </c>
      <c r="AF90" s="156" t="s">
        <v>1681</v>
      </c>
      <c r="AI90" s="6">
        <v>2</v>
      </c>
      <c r="AJ90" s="114" t="str">
        <f ca="1">IF((WEEKDAY(TODAY(),2))=6,"10:00","09:00")</f>
        <v>09:00</v>
      </c>
      <c r="AK90" s="142" t="str">
        <f>IF(AP90&gt;2000,"15:00",IF(AP90&lt;1000,"16:30","16:00"))</f>
        <v>15:00</v>
      </c>
      <c r="AL90" s="58" t="str">
        <f t="shared" ca="1" si="9"/>
        <v>09:00 - 15:00</v>
      </c>
      <c r="AM90" s="151">
        <v>2</v>
      </c>
      <c r="AN90" s="95">
        <f t="shared" si="14"/>
        <v>768064.00000000012</v>
      </c>
      <c r="AO90" s="94" t="b">
        <v>1</v>
      </c>
      <c r="AP90" s="34">
        <f t="shared" si="10"/>
        <v>2400.2000000000003</v>
      </c>
      <c r="AQ90" s="23">
        <f t="shared" si="11"/>
        <v>5</v>
      </c>
      <c r="AR90" s="35" t="s">
        <v>48</v>
      </c>
      <c r="AW90" s="63" t="str">
        <f t="shared" ca="1" si="12"/>
        <v>11:00:57</v>
      </c>
      <c r="AX90" s="172"/>
      <c r="AY90" s="160">
        <v>2</v>
      </c>
      <c r="AZ90" s="10"/>
      <c r="BA90" s="104" t="str">
        <f t="shared" si="13"/>
        <v>ИВАНТЕЕВКА-ХЛЕБОЗАВОДСКАЯ-30</v>
      </c>
      <c r="BB90" s="85">
        <f>AP90*3.2+10*60</f>
        <v>8280.6400000000012</v>
      </c>
      <c r="BD90" s="123"/>
      <c r="BE90" s="117" t="s">
        <v>1315</v>
      </c>
      <c r="BF90" s="89" t="s">
        <v>1315</v>
      </c>
      <c r="BG90" s="89" t="s">
        <v>1315</v>
      </c>
      <c r="BH90" s="89" t="s">
        <v>1315</v>
      </c>
      <c r="BI90" s="89" t="s">
        <v>1315</v>
      </c>
      <c r="BJ90" s="89" t="s">
        <v>1315</v>
      </c>
      <c r="BK90" s="89" t="s">
        <v>1315</v>
      </c>
      <c r="BL90" s="36" t="s">
        <v>475</v>
      </c>
    </row>
    <row r="91" spans="3:64" ht="15" customHeight="1" x14ac:dyDescent="0.3">
      <c r="C91" s="1">
        <v>169</v>
      </c>
      <c r="D91" s="6">
        <v>936</v>
      </c>
      <c r="E91" s="6">
        <v>4936</v>
      </c>
      <c r="F91" s="36" t="s">
        <v>1485</v>
      </c>
      <c r="G91" s="8" t="s">
        <v>50</v>
      </c>
      <c r="H91" s="9">
        <v>9.0399999999999991</v>
      </c>
      <c r="I91" s="9">
        <v>4.05</v>
      </c>
      <c r="J91" s="179" t="s">
        <v>2090</v>
      </c>
      <c r="K91" s="1" t="s">
        <v>1705</v>
      </c>
      <c r="L91" s="2">
        <v>2</v>
      </c>
      <c r="M91" s="2" t="s">
        <v>1329</v>
      </c>
      <c r="N91" s="1">
        <v>1</v>
      </c>
      <c r="O91" s="1">
        <v>1</v>
      </c>
      <c r="P91" s="1" t="s">
        <v>51</v>
      </c>
      <c r="Q91" s="10" t="s">
        <v>351</v>
      </c>
      <c r="R91" t="s">
        <v>2365</v>
      </c>
      <c r="S91">
        <v>9919517000</v>
      </c>
      <c r="T91">
        <v>89776203155</v>
      </c>
      <c r="U91" t="s">
        <v>2323</v>
      </c>
      <c r="V91" t="s">
        <v>2366</v>
      </c>
      <c r="W91">
        <v>9978310708</v>
      </c>
      <c r="X91" t="s">
        <v>2117</v>
      </c>
      <c r="Y91" t="s">
        <v>2325</v>
      </c>
      <c r="Z91" t="s">
        <v>2352</v>
      </c>
      <c r="AA91">
        <v>8</v>
      </c>
      <c r="AB91" s="6" t="s">
        <v>825</v>
      </c>
      <c r="AC91" s="2" t="s">
        <v>352</v>
      </c>
      <c r="AF91" s="156" t="s">
        <v>1683</v>
      </c>
      <c r="AI91" s="6">
        <v>2</v>
      </c>
      <c r="AJ91" s="13" t="s">
        <v>1329</v>
      </c>
      <c r="AK91" s="58">
        <v>0.54166666666666696</v>
      </c>
      <c r="AL91" s="58" t="str">
        <f t="shared" si="9"/>
        <v>09:30 - 13:00</v>
      </c>
      <c r="AM91" s="151">
        <v>1</v>
      </c>
      <c r="AN91" s="95">
        <f t="shared" si="14"/>
        <v>300000</v>
      </c>
      <c r="AO91" s="94" t="b">
        <v>1</v>
      </c>
      <c r="AP91" s="34">
        <f t="shared" si="10"/>
        <v>261.79999999999995</v>
      </c>
      <c r="AQ91" s="23">
        <f t="shared" si="11"/>
        <v>1</v>
      </c>
      <c r="AR91" s="35" t="s">
        <v>48</v>
      </c>
      <c r="AU91" s="46"/>
      <c r="AW91" s="63" t="str">
        <f t="shared" si="12"/>
        <v>09:30</v>
      </c>
      <c r="AX91" s="172"/>
      <c r="AY91" s="160">
        <v>1</v>
      </c>
      <c r="AZ91" s="10"/>
      <c r="BA91" s="104" t="str">
        <f t="shared" si="13"/>
        <v>ВОЛОКОЛАМСКОЕ-Ш-71К4</v>
      </c>
      <c r="BB91" s="91">
        <f>AP91*4.5+10*60</f>
        <v>1778.1</v>
      </c>
      <c r="BD91" s="123"/>
      <c r="BE91" s="117" t="s">
        <v>1315</v>
      </c>
      <c r="BF91" s="89">
        <v>-37.711666666666666</v>
      </c>
      <c r="BG91" s="89" t="s">
        <v>1315</v>
      </c>
      <c r="BH91" s="89" t="s">
        <v>1315</v>
      </c>
      <c r="BI91" s="89" t="s">
        <v>1315</v>
      </c>
      <c r="BJ91" s="89" t="s">
        <v>1315</v>
      </c>
      <c r="BK91" s="89">
        <v>-12.533333333333331</v>
      </c>
      <c r="BL91" s="36" t="s">
        <v>350</v>
      </c>
    </row>
    <row r="92" spans="3:64" ht="15" customHeight="1" x14ac:dyDescent="0.3">
      <c r="C92" s="1">
        <v>175</v>
      </c>
      <c r="D92" s="6">
        <v>7098</v>
      </c>
      <c r="E92" s="6">
        <v>4098</v>
      </c>
      <c r="F92" s="19" t="s">
        <v>1488</v>
      </c>
      <c r="G92" s="8" t="s">
        <v>50</v>
      </c>
      <c r="H92" s="9">
        <v>43.5</v>
      </c>
      <c r="I92" s="9">
        <v>6.88</v>
      </c>
      <c r="J92" s="9" t="s">
        <v>1315</v>
      </c>
      <c r="K92" s="1" t="s">
        <v>1705</v>
      </c>
      <c r="M92" s="2" t="s">
        <v>2070</v>
      </c>
      <c r="N92" s="1">
        <v>1</v>
      </c>
      <c r="O92" s="1">
        <v>2</v>
      </c>
      <c r="P92" s="1" t="s">
        <v>51</v>
      </c>
      <c r="Q92" s="10" t="s">
        <v>1038</v>
      </c>
      <c r="R92" t="s">
        <v>2365</v>
      </c>
      <c r="S92">
        <v>9919517000</v>
      </c>
      <c r="T92">
        <v>89776203155</v>
      </c>
      <c r="U92" t="s">
        <v>2323</v>
      </c>
      <c r="V92" t="s">
        <v>2366</v>
      </c>
      <c r="W92">
        <v>9978310708</v>
      </c>
      <c r="X92" t="s">
        <v>2117</v>
      </c>
      <c r="Y92" t="s">
        <v>2325</v>
      </c>
      <c r="Z92" t="s">
        <v>2352</v>
      </c>
      <c r="AA92">
        <v>8</v>
      </c>
      <c r="AB92" s="6" t="s">
        <v>828</v>
      </c>
      <c r="AC92" s="10" t="s">
        <v>1039</v>
      </c>
      <c r="AF92" s="156" t="s">
        <v>1681</v>
      </c>
      <c r="AI92" s="6">
        <v>2</v>
      </c>
      <c r="AJ92" s="13" t="s">
        <v>1329</v>
      </c>
      <c r="AK92" s="58">
        <v>0.54166666666666696</v>
      </c>
      <c r="AL92" s="58" t="str">
        <f t="shared" si="9"/>
        <v>09:30 - 13:00</v>
      </c>
      <c r="AM92" s="151">
        <v>1</v>
      </c>
      <c r="AN92" s="95">
        <f t="shared" si="14"/>
        <v>322432</v>
      </c>
      <c r="AO92" s="94" t="b">
        <v>1</v>
      </c>
      <c r="AP92" s="34">
        <f t="shared" si="10"/>
        <v>1007.6</v>
      </c>
      <c r="AQ92" s="23">
        <f t="shared" si="11"/>
        <v>2</v>
      </c>
      <c r="AR92" s="35" t="s">
        <v>48</v>
      </c>
      <c r="AU92" s="46"/>
      <c r="AW92" s="63" t="str">
        <f t="shared" si="12"/>
        <v>10:18:54</v>
      </c>
      <c r="AX92" s="172"/>
      <c r="AY92" s="160">
        <v>1</v>
      </c>
      <c r="AZ92" s="10"/>
      <c r="BA92" s="104" t="str">
        <f t="shared" si="13"/>
        <v>ТУРИСТСКАЯ-27К1</v>
      </c>
      <c r="BB92" s="85">
        <f>AP92*3+10*60</f>
        <v>3622.8</v>
      </c>
      <c r="BD92" s="123"/>
      <c r="BE92" s="117" t="s">
        <v>1315</v>
      </c>
      <c r="BF92" s="89" t="s">
        <v>1315</v>
      </c>
      <c r="BG92" s="89">
        <v>-34.143333333333324</v>
      </c>
      <c r="BH92" s="89" t="s">
        <v>1315</v>
      </c>
      <c r="BI92" s="89" t="s">
        <v>1315</v>
      </c>
      <c r="BJ92" s="89" t="s">
        <v>1315</v>
      </c>
      <c r="BK92" s="89" t="s">
        <v>1315</v>
      </c>
      <c r="BL92" s="19" t="s">
        <v>1037</v>
      </c>
    </row>
    <row r="93" spans="3:64" ht="15" customHeight="1" x14ac:dyDescent="0.3">
      <c r="C93" s="1">
        <v>309</v>
      </c>
      <c r="D93" s="6">
        <v>50789</v>
      </c>
      <c r="E93" s="6">
        <v>4789</v>
      </c>
      <c r="F93" s="36" t="s">
        <v>1656</v>
      </c>
      <c r="G93" s="8" t="s">
        <v>43</v>
      </c>
      <c r="H93" s="9">
        <v>20.830000000000002</v>
      </c>
      <c r="I93" s="9">
        <v>12.39</v>
      </c>
      <c r="J93" s="9" t="s">
        <v>1315</v>
      </c>
      <c r="K93" s="1" t="s">
        <v>1705</v>
      </c>
      <c r="M93" s="2" t="s">
        <v>1856</v>
      </c>
      <c r="N93" s="1">
        <v>1</v>
      </c>
      <c r="O93" s="1">
        <v>3</v>
      </c>
      <c r="P93" s="1" t="s">
        <v>45</v>
      </c>
      <c r="Q93" s="10" t="s">
        <v>46</v>
      </c>
      <c r="R93" t="s">
        <v>2365</v>
      </c>
      <c r="S93">
        <v>9919517000</v>
      </c>
      <c r="T93">
        <v>89776203155</v>
      </c>
      <c r="U93" t="s">
        <v>2323</v>
      </c>
      <c r="V93" t="s">
        <v>2366</v>
      </c>
      <c r="W93">
        <v>9978310708</v>
      </c>
      <c r="X93" t="s">
        <v>2117</v>
      </c>
      <c r="Y93" t="s">
        <v>2325</v>
      </c>
      <c r="Z93" t="s">
        <v>2352</v>
      </c>
      <c r="AA93">
        <v>8</v>
      </c>
      <c r="AB93" s="6" t="s">
        <v>885</v>
      </c>
      <c r="AC93" s="2" t="s">
        <v>47</v>
      </c>
      <c r="AF93" s="153" t="s">
        <v>1672</v>
      </c>
      <c r="AI93" s="6">
        <v>2</v>
      </c>
      <c r="AJ93" s="114" t="str">
        <f ca="1">IF((WEEKDAY(TODAY(),2))=6,"10:00","09:30")</f>
        <v>09:30</v>
      </c>
      <c r="AK93" s="58">
        <v>0.54166666666666696</v>
      </c>
      <c r="AL93" s="58" t="str">
        <f t="shared" ca="1" si="9"/>
        <v>09:30 - 13:00</v>
      </c>
      <c r="AM93" s="151">
        <v>2</v>
      </c>
      <c r="AN93" s="95">
        <f t="shared" si="14"/>
        <v>300000</v>
      </c>
      <c r="AO93" s="94" t="b">
        <v>1</v>
      </c>
      <c r="AP93" s="34">
        <f t="shared" si="10"/>
        <v>664.40000000000009</v>
      </c>
      <c r="AQ93" s="23">
        <f t="shared" si="11"/>
        <v>2</v>
      </c>
      <c r="AR93" s="35" t="s">
        <v>48</v>
      </c>
      <c r="AW93" s="63" t="str">
        <f t="shared" ca="1" si="12"/>
        <v>11:50:45</v>
      </c>
      <c r="AX93" s="172"/>
      <c r="AY93" s="160">
        <v>1</v>
      </c>
      <c r="AZ93" s="10"/>
      <c r="BA93" s="104" t="str">
        <f t="shared" si="13"/>
        <v>ДОЛГОПРУД-УМБЕРТО-НОБИЛЕ-Б-Р-1</v>
      </c>
      <c r="BB93" s="85">
        <f>AP93*3+10*60</f>
        <v>2593.2000000000003</v>
      </c>
      <c r="BD93" s="123"/>
      <c r="BE93" s="117">
        <v>-20.786666666666662</v>
      </c>
      <c r="BF93" s="89">
        <v>-19.959999999999997</v>
      </c>
      <c r="BG93" s="89" t="s">
        <v>1315</v>
      </c>
      <c r="BH93" s="89">
        <v>-16.013333333333328</v>
      </c>
      <c r="BI93" s="89">
        <v>-9.586666666666666</v>
      </c>
      <c r="BJ93" s="89" t="s">
        <v>1315</v>
      </c>
      <c r="BK93" s="89" t="s">
        <v>1315</v>
      </c>
      <c r="BL93" s="36" t="s">
        <v>42</v>
      </c>
    </row>
    <row r="94" spans="3:64" ht="15" customHeight="1" x14ac:dyDescent="0.3">
      <c r="C94" s="1">
        <v>306</v>
      </c>
      <c r="D94" s="6">
        <v>50921</v>
      </c>
      <c r="E94" s="6">
        <v>4921</v>
      </c>
      <c r="F94" s="10" t="s">
        <v>1655</v>
      </c>
      <c r="G94" s="8" t="s">
        <v>43</v>
      </c>
      <c r="H94" s="9">
        <v>37.540000000000006</v>
      </c>
      <c r="I94" s="9">
        <v>12.43</v>
      </c>
      <c r="J94" s="9" t="s">
        <v>1315</v>
      </c>
      <c r="K94" s="1" t="s">
        <v>1705</v>
      </c>
      <c r="M94" s="2" t="s">
        <v>2071</v>
      </c>
      <c r="N94" s="1">
        <v>1</v>
      </c>
      <c r="O94" s="1">
        <v>4</v>
      </c>
      <c r="P94" s="1" t="s">
        <v>45</v>
      </c>
      <c r="Q94" s="10" t="s">
        <v>192</v>
      </c>
      <c r="R94" t="s">
        <v>2365</v>
      </c>
      <c r="S94">
        <v>9919517000</v>
      </c>
      <c r="T94">
        <v>89776203155</v>
      </c>
      <c r="U94" t="s">
        <v>2323</v>
      </c>
      <c r="V94" t="s">
        <v>2366</v>
      </c>
      <c r="W94">
        <v>9978310708</v>
      </c>
      <c r="X94" t="s">
        <v>2117</v>
      </c>
      <c r="Y94" t="s">
        <v>2325</v>
      </c>
      <c r="Z94" t="s">
        <v>2352</v>
      </c>
      <c r="AA94">
        <v>8</v>
      </c>
      <c r="AB94" s="6" t="s">
        <v>883</v>
      </c>
      <c r="AC94" s="2" t="s">
        <v>193</v>
      </c>
      <c r="AF94" s="153" t="s">
        <v>1672</v>
      </c>
      <c r="AH94" s="25"/>
      <c r="AI94" s="6">
        <v>2</v>
      </c>
      <c r="AJ94" s="114" t="str">
        <f ca="1">IF((WEEKDAY(TODAY(),2))=6,"10:00","09:30")</f>
        <v>09:30</v>
      </c>
      <c r="AK94" s="142" t="str">
        <f>IF(AP94&gt;2000,"15:00",IF(AP94&lt;1000,"16:30","16:00"))</f>
        <v>16:30</v>
      </c>
      <c r="AL94" s="58" t="str">
        <f t="shared" ca="1" si="9"/>
        <v>09:30 - 16:30</v>
      </c>
      <c r="AM94" s="151">
        <v>2</v>
      </c>
      <c r="AN94" s="95">
        <f t="shared" si="14"/>
        <v>300000</v>
      </c>
      <c r="AO94" s="94" t="b">
        <v>1</v>
      </c>
      <c r="AP94" s="34">
        <f t="shared" si="10"/>
        <v>999.4000000000002</v>
      </c>
      <c r="AQ94" s="23">
        <f t="shared" si="11"/>
        <v>2</v>
      </c>
      <c r="AR94" s="35" t="s">
        <v>48</v>
      </c>
      <c r="AW94" s="63" t="str">
        <f t="shared" ca="1" si="12"/>
        <v>12:45:21</v>
      </c>
      <c r="AX94" s="172"/>
      <c r="AY94" s="160">
        <v>2</v>
      </c>
      <c r="AZ94" s="10"/>
      <c r="BA94" s="104" t="str">
        <f t="shared" si="13"/>
        <v>ДОЛГОПРУД-ЛИХАЧЕВСКОЕ-Ш-14К1</v>
      </c>
      <c r="BB94" s="85">
        <f>AP94*3+10*60</f>
        <v>3598.2000000000007</v>
      </c>
      <c r="BD94" s="123"/>
      <c r="BE94" s="117" t="s">
        <v>1315</v>
      </c>
      <c r="BF94" s="89" t="s">
        <v>1315</v>
      </c>
      <c r="BG94" s="89">
        <v>-22.496666666666677</v>
      </c>
      <c r="BH94" s="89">
        <v>-29.963333333333331</v>
      </c>
      <c r="BI94" s="89" t="s">
        <v>1315</v>
      </c>
      <c r="BJ94" s="89">
        <v>0.53999999999999204</v>
      </c>
      <c r="BK94" s="89" t="s">
        <v>1315</v>
      </c>
      <c r="BL94" s="10" t="s">
        <v>191</v>
      </c>
    </row>
    <row r="95" spans="3:64" ht="15" customHeight="1" x14ac:dyDescent="0.3">
      <c r="C95" s="1">
        <v>29</v>
      </c>
      <c r="D95" s="6">
        <v>740</v>
      </c>
      <c r="E95" s="6">
        <v>4740</v>
      </c>
      <c r="F95" s="1" t="s">
        <v>1375</v>
      </c>
      <c r="G95" s="8" t="s">
        <v>50</v>
      </c>
      <c r="H95" s="9">
        <v>5.9499999999999993</v>
      </c>
      <c r="I95" s="9">
        <v>9.08</v>
      </c>
      <c r="J95" s="179" t="s">
        <v>2090</v>
      </c>
      <c r="K95" s="1" t="s">
        <v>1728</v>
      </c>
      <c r="M95" s="2" t="s">
        <v>1328</v>
      </c>
      <c r="N95" s="1">
        <v>1</v>
      </c>
      <c r="O95" s="1">
        <v>1</v>
      </c>
      <c r="P95" s="1" t="s">
        <v>51</v>
      </c>
      <c r="Q95" s="10" t="s">
        <v>67</v>
      </c>
      <c r="R95" t="s">
        <v>2367</v>
      </c>
      <c r="S95">
        <v>7730279992</v>
      </c>
      <c r="T95">
        <v>89060137525</v>
      </c>
      <c r="U95" t="s">
        <v>2328</v>
      </c>
      <c r="V95" t="s">
        <v>2368</v>
      </c>
      <c r="W95">
        <v>9949343192</v>
      </c>
      <c r="X95" t="s">
        <v>2117</v>
      </c>
      <c r="Y95" t="s">
        <v>2325</v>
      </c>
      <c r="Z95" t="s">
        <v>2352</v>
      </c>
      <c r="AA95">
        <v>8</v>
      </c>
      <c r="AB95" s="6" t="s">
        <v>751</v>
      </c>
      <c r="AC95" s="2" t="s">
        <v>68</v>
      </c>
      <c r="AF95" s="14" t="s">
        <v>732</v>
      </c>
      <c r="AI95" s="6">
        <v>2</v>
      </c>
      <c r="AJ95" s="13" t="s">
        <v>1328</v>
      </c>
      <c r="AK95" s="142" t="str">
        <f>IF(AP95&gt;2000,"15:00",IF(AP95&lt;1000,"16:30","16:00"))</f>
        <v>16:30</v>
      </c>
      <c r="AL95" s="58" t="str">
        <f t="shared" si="9"/>
        <v>09:00 - 16:30</v>
      </c>
      <c r="AM95" s="151">
        <v>4</v>
      </c>
      <c r="AN95" s="95">
        <f t="shared" si="14"/>
        <v>300000</v>
      </c>
      <c r="AO95" s="94" t="b">
        <v>1</v>
      </c>
      <c r="AP95" s="34">
        <f t="shared" si="10"/>
        <v>300.59999999999997</v>
      </c>
      <c r="AQ95" s="23">
        <f t="shared" si="11"/>
        <v>1</v>
      </c>
      <c r="AR95" s="35" t="s">
        <v>48</v>
      </c>
      <c r="AU95" s="46"/>
      <c r="AW95" s="63" t="str">
        <f t="shared" si="12"/>
        <v>09:00</v>
      </c>
      <c r="AX95" s="152"/>
      <c r="AY95" s="160">
        <v>2</v>
      </c>
      <c r="AZ95" s="10"/>
      <c r="BA95" s="104" t="str">
        <f t="shared" si="13"/>
        <v>1-НОВОКУЗЬМИНСКАЯ-27/12</v>
      </c>
      <c r="BB95" s="87">
        <f>AP95*3.5+10*60</f>
        <v>1652.1</v>
      </c>
      <c r="BD95" s="123"/>
      <c r="BE95" s="117" t="s">
        <v>1315</v>
      </c>
      <c r="BF95" s="89" t="s">
        <v>1315</v>
      </c>
      <c r="BG95" s="89" t="s">
        <v>1315</v>
      </c>
      <c r="BH95" s="89" t="s">
        <v>1315</v>
      </c>
      <c r="BI95" s="89" t="s">
        <v>1315</v>
      </c>
      <c r="BJ95" s="89" t="s">
        <v>1315</v>
      </c>
      <c r="BK95" s="89">
        <v>5.4733333333333007</v>
      </c>
      <c r="BL95" s="1" t="s">
        <v>66</v>
      </c>
    </row>
    <row r="96" spans="3:64" ht="15" customHeight="1" x14ac:dyDescent="0.3">
      <c r="C96" s="1">
        <v>389</v>
      </c>
      <c r="D96" s="6">
        <v>50699</v>
      </c>
      <c r="E96" s="6">
        <v>7699</v>
      </c>
      <c r="F96" s="1" t="s">
        <v>1553</v>
      </c>
      <c r="G96" s="8" t="s">
        <v>43</v>
      </c>
      <c r="H96" s="9">
        <v>54.01</v>
      </c>
      <c r="I96" s="9">
        <v>17.149999999999999</v>
      </c>
      <c r="J96" s="9" t="s">
        <v>1315</v>
      </c>
      <c r="K96" s="1" t="s">
        <v>1728</v>
      </c>
      <c r="M96" s="2" t="s">
        <v>1907</v>
      </c>
      <c r="N96" s="1">
        <v>1</v>
      </c>
      <c r="O96" s="1">
        <v>2</v>
      </c>
      <c r="P96" s="1" t="s">
        <v>487</v>
      </c>
      <c r="Q96" s="10" t="s">
        <v>1191</v>
      </c>
      <c r="R96" t="s">
        <v>2367</v>
      </c>
      <c r="S96">
        <v>7730279992</v>
      </c>
      <c r="T96">
        <v>89060137525</v>
      </c>
      <c r="U96" t="s">
        <v>2328</v>
      </c>
      <c r="V96" t="s">
        <v>2368</v>
      </c>
      <c r="W96">
        <v>9949343192</v>
      </c>
      <c r="X96" t="s">
        <v>2117</v>
      </c>
      <c r="Y96" t="s">
        <v>2325</v>
      </c>
      <c r="Z96" t="s">
        <v>2352</v>
      </c>
      <c r="AA96">
        <v>8</v>
      </c>
      <c r="AB96" s="6" t="s">
        <v>918</v>
      </c>
      <c r="AC96" s="2" t="s">
        <v>1017</v>
      </c>
      <c r="AF96" s="14" t="s">
        <v>732</v>
      </c>
      <c r="AH96" s="25"/>
      <c r="AI96" s="6">
        <v>2</v>
      </c>
      <c r="AJ96" s="114" t="str">
        <f ca="1">IF((WEEKDAY(TODAY(),2))=6,"10:00","09:00")</f>
        <v>09:00</v>
      </c>
      <c r="AK96" s="142" t="str">
        <f>IF(AP96&gt;2000,"15:00",IF(AP96&lt;1000,"16:30","16:00"))</f>
        <v>16:00</v>
      </c>
      <c r="AL96" s="58" t="str">
        <f t="shared" ca="1" si="9"/>
        <v>09:00 - 16:00</v>
      </c>
      <c r="AM96" s="151">
        <v>3</v>
      </c>
      <c r="AN96" s="95">
        <f t="shared" si="14"/>
        <v>455424</v>
      </c>
      <c r="AO96" s="94" t="b">
        <v>1</v>
      </c>
      <c r="AP96" s="34">
        <f t="shared" si="10"/>
        <v>1423.2</v>
      </c>
      <c r="AQ96" s="23">
        <f t="shared" si="11"/>
        <v>3</v>
      </c>
      <c r="AR96" s="35" t="s">
        <v>48</v>
      </c>
      <c r="AW96" s="63" t="str">
        <f t="shared" ca="1" si="12"/>
        <v>10:06:24</v>
      </c>
      <c r="AX96" s="152"/>
      <c r="AY96" s="160">
        <v>2</v>
      </c>
      <c r="AZ96" s="10"/>
      <c r="BA96" s="104" t="str">
        <f t="shared" si="13"/>
        <v>БАЛАШИХА-ЛЕНИНА-ПР-Т-23/5</v>
      </c>
      <c r="BB96" s="87">
        <f>AP96*3.5+10*60</f>
        <v>5581.2</v>
      </c>
      <c r="BD96" s="123"/>
      <c r="BE96" s="117" t="s">
        <v>1315</v>
      </c>
      <c r="BF96" s="89" t="s">
        <v>1315</v>
      </c>
      <c r="BG96" s="89" t="s">
        <v>1315</v>
      </c>
      <c r="BH96" s="89" t="s">
        <v>1315</v>
      </c>
      <c r="BI96" s="89" t="s">
        <v>1315</v>
      </c>
      <c r="BJ96" s="89" t="s">
        <v>1315</v>
      </c>
      <c r="BK96" s="89" t="s">
        <v>1315</v>
      </c>
      <c r="BL96" s="1" t="s">
        <v>497</v>
      </c>
    </row>
    <row r="97" spans="3:64" ht="15" customHeight="1" x14ac:dyDescent="0.3">
      <c r="C97" s="1">
        <v>391</v>
      </c>
      <c r="D97" s="6">
        <v>50726</v>
      </c>
      <c r="E97" s="6">
        <v>4726</v>
      </c>
      <c r="F97" s="1" t="s">
        <v>1555</v>
      </c>
      <c r="G97" s="8" t="s">
        <v>43</v>
      </c>
      <c r="H97" s="9">
        <v>50.42</v>
      </c>
      <c r="I97" s="9">
        <v>10.69</v>
      </c>
      <c r="J97" s="9" t="s">
        <v>1315</v>
      </c>
      <c r="K97" s="1" t="s">
        <v>1728</v>
      </c>
      <c r="L97" s="2">
        <v>2</v>
      </c>
      <c r="M97" s="2" t="s">
        <v>1920</v>
      </c>
      <c r="N97" s="1">
        <v>1</v>
      </c>
      <c r="O97" s="1">
        <v>3</v>
      </c>
      <c r="P97" s="1" t="s">
        <v>487</v>
      </c>
      <c r="Q97" s="10" t="s">
        <v>501</v>
      </c>
      <c r="R97" t="s">
        <v>2367</v>
      </c>
      <c r="S97">
        <v>7730279992</v>
      </c>
      <c r="T97">
        <v>89060137525</v>
      </c>
      <c r="U97" t="s">
        <v>2328</v>
      </c>
      <c r="V97" t="s">
        <v>2368</v>
      </c>
      <c r="W97">
        <v>9949343192</v>
      </c>
      <c r="X97" t="s">
        <v>2117</v>
      </c>
      <c r="Y97" t="s">
        <v>2325</v>
      </c>
      <c r="Z97" t="s">
        <v>2352</v>
      </c>
      <c r="AA97">
        <v>8</v>
      </c>
      <c r="AB97" s="6" t="s">
        <v>920</v>
      </c>
      <c r="AC97" s="2" t="s">
        <v>502</v>
      </c>
      <c r="AF97" s="14" t="s">
        <v>732</v>
      </c>
      <c r="AH97" s="25"/>
      <c r="AI97" s="6">
        <v>2</v>
      </c>
      <c r="AJ97" s="114" t="str">
        <f ca="1">IF((WEEKDAY(TODAY(),2))=6,"10:00","09:00")</f>
        <v>09:00</v>
      </c>
      <c r="AK97" s="58">
        <v>0.54166666666666696</v>
      </c>
      <c r="AL97" s="58" t="str">
        <f t="shared" ca="1" si="9"/>
        <v>09:00 - 13:00</v>
      </c>
      <c r="AM97" s="151">
        <v>3</v>
      </c>
      <c r="AN97" s="95">
        <f t="shared" si="14"/>
        <v>391104</v>
      </c>
      <c r="AO97" s="94" t="b">
        <v>1</v>
      </c>
      <c r="AP97" s="34">
        <f t="shared" si="10"/>
        <v>1222.2</v>
      </c>
      <c r="AQ97" s="23">
        <f t="shared" si="11"/>
        <v>3</v>
      </c>
      <c r="AR97" s="35" t="s">
        <v>48</v>
      </c>
      <c r="AW97" s="63" t="str">
        <f t="shared" ca="1" si="12"/>
        <v>11:54:46</v>
      </c>
      <c r="AX97" s="152"/>
      <c r="AY97" s="160">
        <v>1</v>
      </c>
      <c r="AZ97" s="10"/>
      <c r="BA97" s="104" t="str">
        <f t="shared" si="13"/>
        <v>БАЛАШИХА-СВЕРДЛОВА-16К5</v>
      </c>
      <c r="BB97" s="87">
        <f>AP97*3.2+10*60</f>
        <v>4511.0400000000009</v>
      </c>
      <c r="BD97" s="123"/>
      <c r="BE97" s="117" t="s">
        <v>1315</v>
      </c>
      <c r="BF97" s="89" t="s">
        <v>1315</v>
      </c>
      <c r="BG97" s="89" t="s">
        <v>1315</v>
      </c>
      <c r="BH97" s="89" t="s">
        <v>1315</v>
      </c>
      <c r="BI97" s="89">
        <v>11.86933333333333</v>
      </c>
      <c r="BJ97" s="89" t="s">
        <v>1315</v>
      </c>
      <c r="BK97" s="89" t="s">
        <v>1315</v>
      </c>
      <c r="BL97" s="1" t="s">
        <v>500</v>
      </c>
    </row>
    <row r="98" spans="3:64" ht="15" customHeight="1" x14ac:dyDescent="0.3">
      <c r="C98" s="1">
        <v>447</v>
      </c>
      <c r="D98" s="6">
        <v>775</v>
      </c>
      <c r="E98" s="6">
        <v>4775</v>
      </c>
      <c r="F98" s="1" t="s">
        <v>1448</v>
      </c>
      <c r="G98" s="8" t="s">
        <v>50</v>
      </c>
      <c r="H98" s="9">
        <v>9.1</v>
      </c>
      <c r="I98" s="9">
        <v>2.76</v>
      </c>
      <c r="J98" s="9" t="s">
        <v>2086</v>
      </c>
      <c r="K98" s="1" t="s">
        <v>1701</v>
      </c>
      <c r="M98" s="2" t="s">
        <v>1329</v>
      </c>
      <c r="N98" s="1">
        <v>1</v>
      </c>
      <c r="O98" s="1">
        <v>1</v>
      </c>
      <c r="P98" s="1" t="s">
        <v>51</v>
      </c>
      <c r="Q98" s="10" t="s">
        <v>1035</v>
      </c>
      <c r="R98" t="s">
        <v>2133</v>
      </c>
      <c r="S98" t="s">
        <v>2134</v>
      </c>
      <c r="T98">
        <v>89850104588</v>
      </c>
      <c r="U98" t="s">
        <v>2135</v>
      </c>
      <c r="V98" t="s">
        <v>2136</v>
      </c>
      <c r="W98" t="s">
        <v>2137</v>
      </c>
      <c r="X98" t="s">
        <v>2138</v>
      </c>
      <c r="Y98" t="s">
        <v>2139</v>
      </c>
      <c r="Z98" t="s">
        <v>2140</v>
      </c>
      <c r="AA98">
        <v>10</v>
      </c>
      <c r="AB98" s="6" t="s">
        <v>958</v>
      </c>
      <c r="AC98" s="2" t="s">
        <v>1034</v>
      </c>
      <c r="AF98" s="156" t="s">
        <v>1681</v>
      </c>
      <c r="AI98" s="6">
        <v>2</v>
      </c>
      <c r="AJ98" s="13" t="s">
        <v>1329</v>
      </c>
      <c r="AK98" s="58">
        <v>0.54166666666666696</v>
      </c>
      <c r="AL98" s="58" t="str">
        <f t="shared" si="9"/>
        <v>09:30 - 13:00</v>
      </c>
      <c r="AM98" s="151">
        <v>1</v>
      </c>
      <c r="AN98" s="95">
        <f t="shared" si="14"/>
        <v>300000</v>
      </c>
      <c r="AO98" s="94" t="b">
        <v>1</v>
      </c>
      <c r="AP98" s="34">
        <f t="shared" si="10"/>
        <v>237.2</v>
      </c>
      <c r="AQ98" s="23">
        <f t="shared" si="11"/>
        <v>1</v>
      </c>
      <c r="AR98" s="35" t="s">
        <v>48</v>
      </c>
      <c r="AW98" s="63" t="str">
        <f t="shared" si="12"/>
        <v>09:30</v>
      </c>
      <c r="AX98" s="172"/>
      <c r="AY98" s="160">
        <v>1</v>
      </c>
      <c r="AZ98" s="10"/>
      <c r="BA98" s="104" t="str">
        <f t="shared" si="13"/>
        <v>ЯРЦЕВСКАЯ-4</v>
      </c>
      <c r="BB98" s="85">
        <f>AP98*2.7+10*60</f>
        <v>1240.44</v>
      </c>
      <c r="BD98" s="123"/>
      <c r="BE98" s="117" t="s">
        <v>1315</v>
      </c>
      <c r="BF98" s="89" t="s">
        <v>1315</v>
      </c>
      <c r="BG98" s="89" t="s">
        <v>1315</v>
      </c>
      <c r="BH98" s="89" t="s">
        <v>1315</v>
      </c>
      <c r="BI98" s="89">
        <v>11.647333333333329</v>
      </c>
      <c r="BJ98" s="89" t="s">
        <v>1315</v>
      </c>
      <c r="BK98" s="89">
        <v>-12.377000000000002</v>
      </c>
      <c r="BL98" s="1" t="s">
        <v>561</v>
      </c>
    </row>
    <row r="99" spans="3:64" ht="15" customHeight="1" x14ac:dyDescent="0.3">
      <c r="C99" s="1">
        <v>167</v>
      </c>
      <c r="D99" s="6">
        <v>860</v>
      </c>
      <c r="E99" s="6">
        <v>4860</v>
      </c>
      <c r="F99" s="11" t="s">
        <v>1660</v>
      </c>
      <c r="G99" s="8" t="s">
        <v>50</v>
      </c>
      <c r="H99" s="9">
        <v>18.059999999999999</v>
      </c>
      <c r="I99" s="9">
        <v>9.5399999999999991</v>
      </c>
      <c r="J99" s="9" t="s">
        <v>1315</v>
      </c>
      <c r="K99" s="1" t="s">
        <v>1701</v>
      </c>
      <c r="M99" s="2" t="s">
        <v>1850</v>
      </c>
      <c r="N99" s="1">
        <v>1</v>
      </c>
      <c r="O99" s="1">
        <v>2</v>
      </c>
      <c r="P99" s="1" t="s">
        <v>51</v>
      </c>
      <c r="Q99" s="10" t="s">
        <v>1661</v>
      </c>
      <c r="R99" t="s">
        <v>2133</v>
      </c>
      <c r="S99" t="s">
        <v>2134</v>
      </c>
      <c r="T99">
        <v>89850104588</v>
      </c>
      <c r="U99" t="s">
        <v>2135</v>
      </c>
      <c r="V99" t="s">
        <v>2136</v>
      </c>
      <c r="W99" t="s">
        <v>2137</v>
      </c>
      <c r="X99" t="s">
        <v>2138</v>
      </c>
      <c r="Y99" t="s">
        <v>2139</v>
      </c>
      <c r="Z99" t="s">
        <v>2140</v>
      </c>
      <c r="AA99">
        <v>10</v>
      </c>
      <c r="AB99" s="6" t="s">
        <v>824</v>
      </c>
      <c r="AC99" s="2" t="s">
        <v>1662</v>
      </c>
      <c r="AF99" s="156" t="s">
        <v>1681</v>
      </c>
      <c r="AI99" s="6">
        <v>2</v>
      </c>
      <c r="AJ99" s="13" t="s">
        <v>1329</v>
      </c>
      <c r="AK99" s="58">
        <v>0.54166666666666696</v>
      </c>
      <c r="AL99" s="58" t="str">
        <f t="shared" si="9"/>
        <v>09:30 - 13:00</v>
      </c>
      <c r="AM99" s="151">
        <v>1</v>
      </c>
      <c r="AN99" s="95">
        <f t="shared" si="14"/>
        <v>300000</v>
      </c>
      <c r="AO99" s="94" t="b">
        <v>1</v>
      </c>
      <c r="AP99" s="34">
        <f t="shared" si="10"/>
        <v>552</v>
      </c>
      <c r="AQ99" s="23">
        <f t="shared" si="11"/>
        <v>1</v>
      </c>
      <c r="AR99" s="35" t="s">
        <v>48</v>
      </c>
      <c r="AU99" s="46"/>
      <c r="AW99" s="63" t="str">
        <f t="shared" si="12"/>
        <v>10:25:02</v>
      </c>
      <c r="AX99" s="172"/>
      <c r="AY99" s="160">
        <v>1</v>
      </c>
      <c r="AZ99" s="10"/>
      <c r="BA99" s="104" t="str">
        <f t="shared" si="13"/>
        <v>АВИАЦИОННАЯ-77К2</v>
      </c>
      <c r="BB99" s="85">
        <f>AP99*3+10*60</f>
        <v>2256</v>
      </c>
      <c r="BD99" s="123"/>
      <c r="BE99" s="117" t="s">
        <v>1315</v>
      </c>
      <c r="BF99" s="89" t="s">
        <v>1315</v>
      </c>
      <c r="BG99" s="89">
        <v>6.1633333333333269</v>
      </c>
      <c r="BH99" s="89" t="s">
        <v>1315</v>
      </c>
      <c r="BI99" s="89" t="s">
        <v>1315</v>
      </c>
      <c r="BJ99" s="89">
        <v>-23.133333333333326</v>
      </c>
      <c r="BK99" s="89">
        <v>30.660000000000004</v>
      </c>
      <c r="BL99" s="11" t="s">
        <v>109</v>
      </c>
    </row>
    <row r="100" spans="3:64" ht="15" customHeight="1" x14ac:dyDescent="0.3">
      <c r="C100" s="1">
        <v>213</v>
      </c>
      <c r="D100" s="6">
        <v>737</v>
      </c>
      <c r="E100" s="6">
        <v>4737</v>
      </c>
      <c r="F100" s="1" t="s">
        <v>1502</v>
      </c>
      <c r="G100" s="8" t="s">
        <v>50</v>
      </c>
      <c r="H100" s="9">
        <v>44.47</v>
      </c>
      <c r="I100" s="9">
        <v>10.62</v>
      </c>
      <c r="J100" s="9" t="s">
        <v>1315</v>
      </c>
      <c r="K100" s="1" t="s">
        <v>1701</v>
      </c>
      <c r="M100" s="2" t="s">
        <v>2033</v>
      </c>
      <c r="N100" s="1">
        <v>1</v>
      </c>
      <c r="O100" s="1">
        <v>3</v>
      </c>
      <c r="P100" s="1" t="s">
        <v>51</v>
      </c>
      <c r="Q100" s="10" t="s">
        <v>1200</v>
      </c>
      <c r="R100" t="s">
        <v>2133</v>
      </c>
      <c r="S100" t="s">
        <v>2134</v>
      </c>
      <c r="T100">
        <v>89850104588</v>
      </c>
      <c r="U100" t="s">
        <v>2135</v>
      </c>
      <c r="V100" t="s">
        <v>2136</v>
      </c>
      <c r="W100" t="s">
        <v>2137</v>
      </c>
      <c r="X100" t="s">
        <v>2138</v>
      </c>
      <c r="Y100" t="s">
        <v>2139</v>
      </c>
      <c r="Z100" t="s">
        <v>2140</v>
      </c>
      <c r="AA100">
        <v>10</v>
      </c>
      <c r="AB100" s="6" t="s">
        <v>846</v>
      </c>
      <c r="AC100" s="2" t="s">
        <v>375</v>
      </c>
      <c r="AF100" s="153" t="s">
        <v>1672</v>
      </c>
      <c r="AI100" s="6">
        <v>2</v>
      </c>
      <c r="AJ100" s="13" t="s">
        <v>1328</v>
      </c>
      <c r="AK100" s="58">
        <v>0.54166666666666696</v>
      </c>
      <c r="AL100" s="58" t="str">
        <f t="shared" si="9"/>
        <v>09:00 - 13:00</v>
      </c>
      <c r="AM100" s="151">
        <v>6</v>
      </c>
      <c r="AN100" s="95">
        <f t="shared" si="14"/>
        <v>352576</v>
      </c>
      <c r="AO100" s="94" t="b">
        <v>1</v>
      </c>
      <c r="AP100" s="34">
        <f t="shared" si="10"/>
        <v>1101.8</v>
      </c>
      <c r="AQ100" s="23">
        <f t="shared" si="11"/>
        <v>2</v>
      </c>
      <c r="AR100" s="35" t="s">
        <v>48</v>
      </c>
      <c r="AW100" s="63" t="str">
        <f t="shared" si="12"/>
        <v>11:21:13</v>
      </c>
      <c r="AX100" s="152"/>
      <c r="AY100" s="160">
        <v>1</v>
      </c>
      <c r="AZ100" s="10"/>
      <c r="BA100" s="104" t="str">
        <f t="shared" si="13"/>
        <v>МАРШ-ЖУКОВА-ПР-Т-30</v>
      </c>
      <c r="BB100" s="85">
        <f>AP100*2.8+10*60</f>
        <v>3685.0399999999995</v>
      </c>
      <c r="BD100" s="123"/>
      <c r="BE100" s="117" t="s">
        <v>1315</v>
      </c>
      <c r="BF100" s="89" t="s">
        <v>1315</v>
      </c>
      <c r="BG100" s="89">
        <v>-26.198666666666675</v>
      </c>
      <c r="BH100" s="89" t="s">
        <v>1315</v>
      </c>
      <c r="BI100" s="89" t="s">
        <v>1315</v>
      </c>
      <c r="BJ100" s="89" t="s">
        <v>1315</v>
      </c>
      <c r="BK100" s="89" t="s">
        <v>1315</v>
      </c>
      <c r="BL100" s="1" t="s">
        <v>374</v>
      </c>
    </row>
    <row r="101" spans="3:64" ht="15" customHeight="1" x14ac:dyDescent="0.3">
      <c r="C101" s="1">
        <v>170</v>
      </c>
      <c r="D101" s="6">
        <v>18</v>
      </c>
      <c r="E101" s="6">
        <v>7018</v>
      </c>
      <c r="F101" s="1" t="s">
        <v>1486</v>
      </c>
      <c r="G101" s="8" t="s">
        <v>50</v>
      </c>
      <c r="H101" s="9">
        <v>78.900000000000006</v>
      </c>
      <c r="I101" s="9">
        <v>31.55</v>
      </c>
      <c r="J101" s="9" t="s">
        <v>1315</v>
      </c>
      <c r="K101" s="1" t="s">
        <v>1701</v>
      </c>
      <c r="L101" s="2">
        <v>2</v>
      </c>
      <c r="M101" s="2" t="s">
        <v>1901</v>
      </c>
      <c r="N101" s="1">
        <v>1</v>
      </c>
      <c r="O101" s="1">
        <v>4</v>
      </c>
      <c r="P101" s="1" t="s">
        <v>51</v>
      </c>
      <c r="Q101" s="10" t="s">
        <v>1217</v>
      </c>
      <c r="R101" t="s">
        <v>2133</v>
      </c>
      <c r="S101" t="s">
        <v>2134</v>
      </c>
      <c r="T101">
        <v>89850104588</v>
      </c>
      <c r="U101" t="s">
        <v>2135</v>
      </c>
      <c r="V101" t="s">
        <v>2136</v>
      </c>
      <c r="W101" t="s">
        <v>2137</v>
      </c>
      <c r="X101" t="s">
        <v>2138</v>
      </c>
      <c r="Y101" t="s">
        <v>2139</v>
      </c>
      <c r="Z101" t="s">
        <v>2140</v>
      </c>
      <c r="AA101">
        <v>10</v>
      </c>
      <c r="AB101" s="6" t="s">
        <v>826</v>
      </c>
      <c r="AC101" s="2" t="s">
        <v>178</v>
      </c>
      <c r="AF101" s="153" t="s">
        <v>1677</v>
      </c>
      <c r="AI101" s="6">
        <v>2</v>
      </c>
      <c r="AJ101" s="13" t="s">
        <v>1329</v>
      </c>
      <c r="AK101" s="58">
        <v>0.54166666666666696</v>
      </c>
      <c r="AL101" s="58" t="str">
        <f t="shared" si="9"/>
        <v>09:30 - 13:00</v>
      </c>
      <c r="AM101" s="151">
        <v>1</v>
      </c>
      <c r="AN101" s="95">
        <f t="shared" si="14"/>
        <v>706880</v>
      </c>
      <c r="AO101" s="94" t="b">
        <v>1</v>
      </c>
      <c r="AP101" s="34">
        <f t="shared" si="10"/>
        <v>2209</v>
      </c>
      <c r="AQ101" s="23">
        <f t="shared" si="11"/>
        <v>4</v>
      </c>
      <c r="AR101" s="35" t="s">
        <v>48</v>
      </c>
      <c r="AU101" s="46"/>
      <c r="AW101" s="63" t="str">
        <f t="shared" si="12"/>
        <v>12:44:07</v>
      </c>
      <c r="AX101" s="172"/>
      <c r="AY101" s="160">
        <v>1</v>
      </c>
      <c r="AZ101" s="10"/>
      <c r="BA101" s="104" t="str">
        <f t="shared" si="13"/>
        <v>СТРОГИНСКИЙ-Б-Р-21</v>
      </c>
      <c r="BB101" s="85">
        <f>AP101*3+10*60</f>
        <v>7227</v>
      </c>
      <c r="BD101" s="123"/>
      <c r="BE101" s="117">
        <v>-36.216666666666654</v>
      </c>
      <c r="BF101" s="89" t="s">
        <v>1315</v>
      </c>
      <c r="BG101" s="89">
        <v>20.516666666666708</v>
      </c>
      <c r="BH101" s="89">
        <v>16.733333333333334</v>
      </c>
      <c r="BI101" s="89" t="s">
        <v>1315</v>
      </c>
      <c r="BJ101" s="89">
        <v>-10.983333333333327</v>
      </c>
      <c r="BK101" s="89" t="s">
        <v>1315</v>
      </c>
      <c r="BL101" s="1" t="s">
        <v>177</v>
      </c>
    </row>
    <row r="102" spans="3:64" ht="15" customHeight="1" x14ac:dyDescent="0.3">
      <c r="C102" s="1">
        <v>208</v>
      </c>
      <c r="D102" s="6">
        <v>642</v>
      </c>
      <c r="E102" s="6">
        <v>7642</v>
      </c>
      <c r="F102" s="1" t="s">
        <v>1499</v>
      </c>
      <c r="G102" s="8" t="s">
        <v>50</v>
      </c>
      <c r="H102" s="9">
        <v>26.57</v>
      </c>
      <c r="I102" s="9">
        <v>11.34</v>
      </c>
      <c r="J102" s="9" t="s">
        <v>1315</v>
      </c>
      <c r="K102" s="1" t="s">
        <v>1701</v>
      </c>
      <c r="M102" s="2" t="s">
        <v>1927</v>
      </c>
      <c r="N102" s="1">
        <v>1</v>
      </c>
      <c r="O102" s="1">
        <v>5</v>
      </c>
      <c r="P102" s="1" t="s">
        <v>51</v>
      </c>
      <c r="Q102" s="10" t="s">
        <v>119</v>
      </c>
      <c r="R102" t="s">
        <v>2133</v>
      </c>
      <c r="S102" t="s">
        <v>2134</v>
      </c>
      <c r="T102">
        <v>89850104588</v>
      </c>
      <c r="U102" t="s">
        <v>2135</v>
      </c>
      <c r="V102" t="s">
        <v>2136</v>
      </c>
      <c r="W102" t="s">
        <v>2137</v>
      </c>
      <c r="X102" t="s">
        <v>2138</v>
      </c>
      <c r="Y102" t="s">
        <v>2139</v>
      </c>
      <c r="Z102" t="s">
        <v>2140</v>
      </c>
      <c r="AA102">
        <v>10</v>
      </c>
      <c r="AB102" s="6" t="s">
        <v>843</v>
      </c>
      <c r="AC102" s="2" t="s">
        <v>120</v>
      </c>
      <c r="AD102"/>
      <c r="AE102"/>
      <c r="AF102" s="167" t="s">
        <v>1672</v>
      </c>
      <c r="AI102" s="6">
        <v>2</v>
      </c>
      <c r="AJ102" s="13" t="s">
        <v>1329</v>
      </c>
      <c r="AK102" s="162">
        <v>0.75</v>
      </c>
      <c r="AL102" s="58" t="str">
        <f t="shared" si="9"/>
        <v>09:30 - 18:00</v>
      </c>
      <c r="AM102" s="151">
        <v>6</v>
      </c>
      <c r="AN102" s="95">
        <f t="shared" si="14"/>
        <v>300000</v>
      </c>
      <c r="AO102" s="94" t="b">
        <v>1</v>
      </c>
      <c r="AP102" s="34">
        <f t="shared" si="10"/>
        <v>758.2</v>
      </c>
      <c r="AQ102" s="23">
        <f t="shared" si="11"/>
        <v>2</v>
      </c>
      <c r="AR102" s="35" t="s">
        <v>48</v>
      </c>
      <c r="AW102" s="63" t="str">
        <f t="shared" si="12"/>
        <v>15:29:00</v>
      </c>
      <c r="AX102" s="152"/>
      <c r="AY102" s="160">
        <v>3</v>
      </c>
      <c r="AZ102" s="10"/>
      <c r="BA102" s="104" t="str">
        <f t="shared" si="13"/>
        <v>ХОРОШЕВСКОЕ-Ш-90</v>
      </c>
      <c r="BB102" s="163">
        <f>AP102*3.3+10*60</f>
        <v>3102.06</v>
      </c>
      <c r="BD102" s="164"/>
      <c r="BE102" s="164" t="s">
        <v>1315</v>
      </c>
      <c r="BF102" s="165">
        <v>-10.503</v>
      </c>
      <c r="BG102" s="165" t="s">
        <v>1315</v>
      </c>
      <c r="BH102" s="165" t="s">
        <v>1315</v>
      </c>
      <c r="BI102" s="165" t="s">
        <v>1315</v>
      </c>
      <c r="BJ102" s="165" t="s">
        <v>1315</v>
      </c>
      <c r="BK102" s="165" t="s">
        <v>1315</v>
      </c>
      <c r="BL102" s="1" t="s">
        <v>118</v>
      </c>
    </row>
    <row r="103" spans="3:64" ht="15" customHeight="1" x14ac:dyDescent="0.3">
      <c r="C103" s="1">
        <v>484</v>
      </c>
      <c r="D103" s="6">
        <v>7058</v>
      </c>
      <c r="E103" s="6">
        <v>4058</v>
      </c>
      <c r="F103" s="11" t="s">
        <v>1646</v>
      </c>
      <c r="G103" s="8" t="s">
        <v>50</v>
      </c>
      <c r="H103" s="9">
        <v>39.590000000000003</v>
      </c>
      <c r="I103" s="9">
        <v>7.73</v>
      </c>
      <c r="J103" s="9" t="s">
        <v>1804</v>
      </c>
      <c r="K103" s="1" t="s">
        <v>1736</v>
      </c>
      <c r="M103" s="2" t="s">
        <v>1974</v>
      </c>
      <c r="N103" s="1">
        <v>1</v>
      </c>
      <c r="O103" s="1">
        <v>1</v>
      </c>
      <c r="P103" s="1" t="s">
        <v>51</v>
      </c>
      <c r="Q103" s="10" t="s">
        <v>737</v>
      </c>
      <c r="R103" t="s">
        <v>2179</v>
      </c>
      <c r="S103" t="s">
        <v>2180</v>
      </c>
      <c r="T103">
        <v>89969985215</v>
      </c>
      <c r="U103" t="s">
        <v>2181</v>
      </c>
      <c r="V103" t="s">
        <v>2182</v>
      </c>
      <c r="W103">
        <v>9955446250</v>
      </c>
      <c r="X103" t="s">
        <v>2183</v>
      </c>
      <c r="Y103" t="s">
        <v>2118</v>
      </c>
      <c r="Z103" t="s">
        <v>2184</v>
      </c>
      <c r="AA103">
        <v>8</v>
      </c>
      <c r="AB103" s="6" t="s">
        <v>1045</v>
      </c>
      <c r="AC103" s="10" t="s">
        <v>738</v>
      </c>
      <c r="AF103" s="153" t="s">
        <v>1672</v>
      </c>
      <c r="AH103" s="25"/>
      <c r="AI103" s="6">
        <v>2</v>
      </c>
      <c r="AJ103" s="13" t="s">
        <v>1329</v>
      </c>
      <c r="AK103" s="162">
        <v>0.75</v>
      </c>
      <c r="AL103" s="58" t="str">
        <f t="shared" si="9"/>
        <v>09:30 - 18:00</v>
      </c>
      <c r="AM103" s="151">
        <v>5</v>
      </c>
      <c r="AN103" s="95">
        <f t="shared" si="14"/>
        <v>300000</v>
      </c>
      <c r="AO103" s="94" t="b">
        <v>1</v>
      </c>
      <c r="AP103" s="34">
        <f t="shared" si="10"/>
        <v>946.40000000000009</v>
      </c>
      <c r="AQ103" s="23">
        <f t="shared" si="11"/>
        <v>2</v>
      </c>
      <c r="AR103" s="35" t="s">
        <v>48</v>
      </c>
      <c r="AW103" s="63" t="str">
        <f t="shared" si="12"/>
        <v>16:22:29</v>
      </c>
      <c r="AX103" s="152"/>
      <c r="AY103" s="160">
        <v>3</v>
      </c>
      <c r="AZ103" s="10"/>
      <c r="BA103" s="104" t="str">
        <f t="shared" si="13"/>
        <v>АК-ВАРГИ-26Б</v>
      </c>
      <c r="BB103" s="85">
        <f>AP103*3+10*60</f>
        <v>3439.2000000000003</v>
      </c>
      <c r="BD103" s="123"/>
      <c r="BE103" s="117" t="s">
        <v>1315</v>
      </c>
      <c r="BF103" s="89" t="s">
        <v>1315</v>
      </c>
      <c r="BG103" s="89" t="s">
        <v>1315</v>
      </c>
      <c r="BH103" s="89" t="s">
        <v>1315</v>
      </c>
      <c r="BI103" s="89" t="s">
        <v>1315</v>
      </c>
      <c r="BJ103" s="89" t="s">
        <v>1315</v>
      </c>
      <c r="BK103" s="89" t="s">
        <v>1315</v>
      </c>
      <c r="BL103" s="11" t="s">
        <v>736</v>
      </c>
    </row>
    <row r="104" spans="3:64" ht="15" customHeight="1" x14ac:dyDescent="0.3">
      <c r="C104" s="1">
        <v>122</v>
      </c>
      <c r="D104" s="6">
        <v>7237</v>
      </c>
      <c r="E104" s="84">
        <v>4237</v>
      </c>
      <c r="F104" s="54" t="s">
        <v>1435</v>
      </c>
      <c r="G104" s="8" t="s">
        <v>50</v>
      </c>
      <c r="H104" s="9">
        <v>29.900000000000002</v>
      </c>
      <c r="I104" s="9">
        <v>9.31</v>
      </c>
      <c r="J104" s="9" t="s">
        <v>1315</v>
      </c>
      <c r="K104" s="1" t="s">
        <v>1736</v>
      </c>
      <c r="M104" s="2" t="s">
        <v>1946</v>
      </c>
      <c r="N104" s="1">
        <v>1</v>
      </c>
      <c r="O104" s="1">
        <v>2</v>
      </c>
      <c r="P104" s="1" t="s">
        <v>51</v>
      </c>
      <c r="Q104" s="1" t="s">
        <v>1283</v>
      </c>
      <c r="R104" t="s">
        <v>2179</v>
      </c>
      <c r="S104" t="s">
        <v>2180</v>
      </c>
      <c r="T104">
        <v>89969985215</v>
      </c>
      <c r="U104" t="s">
        <v>2181</v>
      </c>
      <c r="V104" t="s">
        <v>2182</v>
      </c>
      <c r="W104">
        <v>9955446250</v>
      </c>
      <c r="X104" t="s">
        <v>2183</v>
      </c>
      <c r="Y104" t="s">
        <v>2118</v>
      </c>
      <c r="Z104" t="s">
        <v>2184</v>
      </c>
      <c r="AA104">
        <v>8</v>
      </c>
      <c r="AB104" s="6" t="s">
        <v>801</v>
      </c>
      <c r="AC104" s="2" t="s">
        <v>1284</v>
      </c>
      <c r="AF104" s="14" t="s">
        <v>732</v>
      </c>
      <c r="AG104" s="5" t="s">
        <v>28</v>
      </c>
      <c r="AH104" s="25">
        <v>100</v>
      </c>
      <c r="AI104" s="6">
        <v>2</v>
      </c>
      <c r="AJ104" s="13" t="s">
        <v>1329</v>
      </c>
      <c r="AK104" s="162">
        <v>0.75</v>
      </c>
      <c r="AL104" s="58" t="str">
        <f t="shared" si="9"/>
        <v>09:30 - 18:00</v>
      </c>
      <c r="AM104" s="151"/>
      <c r="AN104" s="95">
        <f t="shared" si="14"/>
        <v>300000</v>
      </c>
      <c r="AO104" s="94" t="b">
        <v>1</v>
      </c>
      <c r="AP104" s="34">
        <f t="shared" si="10"/>
        <v>784.2</v>
      </c>
      <c r="AQ104" s="23">
        <f t="shared" si="11"/>
        <v>2</v>
      </c>
      <c r="AR104" s="35" t="s">
        <v>48</v>
      </c>
      <c r="AU104" s="46"/>
      <c r="AW104" s="63" t="str">
        <f t="shared" si="12"/>
        <v>17:59:36</v>
      </c>
      <c r="AX104" s="152"/>
      <c r="AY104" s="160">
        <v>3</v>
      </c>
      <c r="AZ104" s="10"/>
      <c r="BA104" s="104" t="str">
        <f t="shared" si="13"/>
        <v>КОМСОМОЛЬСКИЙ-ПР-Т-11</v>
      </c>
      <c r="BB104" s="70">
        <f>AP104*4+10*60</f>
        <v>3736.8</v>
      </c>
      <c r="BD104" s="123"/>
      <c r="BE104" s="117" t="s">
        <v>1315</v>
      </c>
      <c r="BF104" s="89" t="s">
        <v>1315</v>
      </c>
      <c r="BG104" s="89" t="s">
        <v>1315</v>
      </c>
      <c r="BH104" s="89" t="s">
        <v>1315</v>
      </c>
      <c r="BI104" s="89" t="s">
        <v>1315</v>
      </c>
      <c r="BJ104" s="89" t="s">
        <v>1315</v>
      </c>
      <c r="BK104" s="89" t="s">
        <v>1315</v>
      </c>
      <c r="BL104" s="54" t="s">
        <v>1285</v>
      </c>
    </row>
    <row r="105" spans="3:64" ht="15" customHeight="1" x14ac:dyDescent="0.3">
      <c r="C105" s="1">
        <v>411</v>
      </c>
      <c r="D105" s="6">
        <v>828</v>
      </c>
      <c r="E105" s="6">
        <v>4828</v>
      </c>
      <c r="F105" s="67" t="s">
        <v>1447</v>
      </c>
      <c r="G105" s="8" t="s">
        <v>50</v>
      </c>
      <c r="H105" s="9">
        <v>7.1000000000000005</v>
      </c>
      <c r="I105" s="9">
        <v>43.07</v>
      </c>
      <c r="J105" s="9" t="s">
        <v>1315</v>
      </c>
      <c r="K105" s="1" t="s">
        <v>1736</v>
      </c>
      <c r="M105" s="2" t="s">
        <v>1930</v>
      </c>
      <c r="N105" s="1">
        <v>1</v>
      </c>
      <c r="O105" s="1">
        <v>3</v>
      </c>
      <c r="P105" s="1" t="s">
        <v>51</v>
      </c>
      <c r="Q105" s="10" t="s">
        <v>515</v>
      </c>
      <c r="R105" t="s">
        <v>2179</v>
      </c>
      <c r="S105" t="s">
        <v>2180</v>
      </c>
      <c r="T105">
        <v>89969985215</v>
      </c>
      <c r="U105" t="s">
        <v>2181</v>
      </c>
      <c r="V105" t="s">
        <v>2182</v>
      </c>
      <c r="W105">
        <v>9955446250</v>
      </c>
      <c r="X105" t="s">
        <v>2183</v>
      </c>
      <c r="Y105" t="s">
        <v>2118</v>
      </c>
      <c r="Z105" t="s">
        <v>2184</v>
      </c>
      <c r="AA105">
        <v>8</v>
      </c>
      <c r="AB105" s="6" t="s">
        <v>932</v>
      </c>
      <c r="AC105" s="2" t="s">
        <v>516</v>
      </c>
      <c r="AF105" s="14" t="s">
        <v>1251</v>
      </c>
      <c r="AG105" s="5" t="s">
        <v>28</v>
      </c>
      <c r="AH105" s="5">
        <v>100</v>
      </c>
      <c r="AI105" s="6">
        <v>2</v>
      </c>
      <c r="AJ105" s="13" t="s">
        <v>1330</v>
      </c>
      <c r="AK105" s="175">
        <v>0.83333333333333337</v>
      </c>
      <c r="AL105" s="58" t="str">
        <f t="shared" si="9"/>
        <v>19:00 - 20:00</v>
      </c>
      <c r="AM105" s="151"/>
      <c r="AN105" s="98">
        <v>10000000</v>
      </c>
      <c r="AO105" s="94" t="b">
        <v>1</v>
      </c>
      <c r="AP105" s="34">
        <f t="shared" si="10"/>
        <v>1003.4</v>
      </c>
      <c r="AQ105" s="23">
        <f t="shared" si="11"/>
        <v>2</v>
      </c>
      <c r="AR105" s="35" t="s">
        <v>48</v>
      </c>
      <c r="AW105" s="63" t="str">
        <f t="shared" si="12"/>
        <v>19:32:00</v>
      </c>
      <c r="AX105" s="152"/>
      <c r="AY105" s="160">
        <v>1</v>
      </c>
      <c r="AZ105" s="10"/>
      <c r="BA105" s="104" t="str">
        <f t="shared" si="13"/>
        <v>ПРЕСНЕНСКАЯ-НАБ-12</v>
      </c>
      <c r="BB105" s="70">
        <f>AP105*4.1+10*60</f>
        <v>4713.9399999999996</v>
      </c>
      <c r="BD105" s="123"/>
      <c r="BE105" s="117" t="s">
        <v>1315</v>
      </c>
      <c r="BF105" s="89" t="s">
        <v>1315</v>
      </c>
      <c r="BG105" s="89" t="s">
        <v>1315</v>
      </c>
      <c r="BH105" s="89" t="s">
        <v>1315</v>
      </c>
      <c r="BI105" s="89" t="s">
        <v>1315</v>
      </c>
      <c r="BJ105" s="89" t="s">
        <v>1315</v>
      </c>
      <c r="BK105" s="89" t="s">
        <v>1315</v>
      </c>
      <c r="BL105" s="67" t="s">
        <v>514</v>
      </c>
    </row>
    <row r="106" spans="3:64" ht="15" customHeight="1" x14ac:dyDescent="0.3">
      <c r="C106" s="1">
        <v>463</v>
      </c>
      <c r="D106" s="6">
        <v>65955</v>
      </c>
      <c r="E106" s="6">
        <v>4955</v>
      </c>
      <c r="F106" s="36" t="s">
        <v>1585</v>
      </c>
      <c r="G106" s="8" t="s">
        <v>50</v>
      </c>
      <c r="H106" s="9">
        <v>53.8</v>
      </c>
      <c r="I106" s="9">
        <v>18.64</v>
      </c>
      <c r="J106" s="9" t="s">
        <v>1839</v>
      </c>
      <c r="K106" s="1" t="s">
        <v>1776</v>
      </c>
      <c r="M106" s="2" t="s">
        <v>2056</v>
      </c>
      <c r="N106" s="1">
        <v>1</v>
      </c>
      <c r="O106" s="1">
        <v>1</v>
      </c>
      <c r="P106" s="1" t="s">
        <v>565</v>
      </c>
      <c r="Q106" s="10" t="s">
        <v>1024</v>
      </c>
      <c r="R106" t="s">
        <v>2185</v>
      </c>
      <c r="S106" t="s">
        <v>2186</v>
      </c>
      <c r="T106">
        <v>89109149768</v>
      </c>
      <c r="U106" t="s">
        <v>2181</v>
      </c>
      <c r="V106" t="s">
        <v>2187</v>
      </c>
      <c r="W106">
        <v>9949330189</v>
      </c>
      <c r="X106" t="s">
        <v>2183</v>
      </c>
      <c r="Y106" t="s">
        <v>2118</v>
      </c>
      <c r="Z106" t="s">
        <v>2184</v>
      </c>
      <c r="AA106">
        <v>8</v>
      </c>
      <c r="AB106" s="6" t="s">
        <v>982</v>
      </c>
      <c r="AC106" s="2" t="s">
        <v>1022</v>
      </c>
      <c r="AF106" s="167" t="s">
        <v>1672</v>
      </c>
      <c r="AI106" s="6">
        <v>2</v>
      </c>
      <c r="AJ106" s="13" t="s">
        <v>1329</v>
      </c>
      <c r="AK106" s="58">
        <v>0.54166666666666696</v>
      </c>
      <c r="AL106" s="58" t="str">
        <f t="shared" si="9"/>
        <v>09:30 - 13:00</v>
      </c>
      <c r="AM106" s="151">
        <v>6</v>
      </c>
      <c r="AN106" s="95">
        <f t="shared" ref="AN106:AN123" si="15">IF(AP106&gt;1000,(AP106*320),300000)</f>
        <v>463616</v>
      </c>
      <c r="AO106" s="94" t="b">
        <v>1</v>
      </c>
      <c r="AP106" s="34">
        <f t="shared" si="10"/>
        <v>1448.8</v>
      </c>
      <c r="AQ106" s="23">
        <f t="shared" si="11"/>
        <v>3</v>
      </c>
      <c r="AR106" s="35" t="s">
        <v>48</v>
      </c>
      <c r="AW106" s="63" t="str">
        <f t="shared" si="12"/>
        <v>10:21:26</v>
      </c>
      <c r="AX106" s="152"/>
      <c r="AY106" s="160">
        <v>1</v>
      </c>
      <c r="AZ106" s="10"/>
      <c r="BA106" s="104" t="str">
        <f t="shared" si="13"/>
        <v>АПРЕЛЕВКА-ЯСНАЯ-1</v>
      </c>
      <c r="BB106" s="85">
        <f>AP106*3+10*60</f>
        <v>4946.3999999999996</v>
      </c>
      <c r="BD106" s="123"/>
      <c r="BE106" s="117" t="s">
        <v>1315</v>
      </c>
      <c r="BF106" s="89" t="s">
        <v>1315</v>
      </c>
      <c r="BG106" s="89" t="s">
        <v>1315</v>
      </c>
      <c r="BH106" s="89" t="s">
        <v>1315</v>
      </c>
      <c r="BI106" s="89" t="s">
        <v>1315</v>
      </c>
      <c r="BJ106" s="89">
        <v>-18.616666666666667</v>
      </c>
      <c r="BK106" s="89" t="s">
        <v>1315</v>
      </c>
      <c r="BL106" s="36" t="s">
        <v>1023</v>
      </c>
    </row>
    <row r="107" spans="3:64" ht="15" customHeight="1" x14ac:dyDescent="0.3">
      <c r="C107" s="1">
        <v>270</v>
      </c>
      <c r="D107" s="6">
        <v>507087</v>
      </c>
      <c r="E107" s="6">
        <v>4087</v>
      </c>
      <c r="F107" s="18" t="s">
        <v>1517</v>
      </c>
      <c r="G107" s="8" t="s">
        <v>43</v>
      </c>
      <c r="H107" s="9">
        <v>57.5</v>
      </c>
      <c r="I107" s="9">
        <v>19.91</v>
      </c>
      <c r="J107" s="9" t="s">
        <v>1315</v>
      </c>
      <c r="K107" s="1" t="s">
        <v>1776</v>
      </c>
      <c r="M107" s="2" t="s">
        <v>2057</v>
      </c>
      <c r="N107" s="1">
        <v>1</v>
      </c>
      <c r="O107" s="1">
        <v>2</v>
      </c>
      <c r="P107" s="1" t="s">
        <v>131</v>
      </c>
      <c r="Q107" s="1" t="s">
        <v>991</v>
      </c>
      <c r="R107" t="s">
        <v>2185</v>
      </c>
      <c r="S107" t="s">
        <v>2186</v>
      </c>
      <c r="T107">
        <v>89109149768</v>
      </c>
      <c r="U107" t="s">
        <v>2181</v>
      </c>
      <c r="V107" t="s">
        <v>2187</v>
      </c>
      <c r="W107">
        <v>9949330189</v>
      </c>
      <c r="X107" t="s">
        <v>2183</v>
      </c>
      <c r="Y107" t="s">
        <v>2118</v>
      </c>
      <c r="Z107" t="s">
        <v>2184</v>
      </c>
      <c r="AA107">
        <v>8</v>
      </c>
      <c r="AB107" s="6" t="s">
        <v>868</v>
      </c>
      <c r="AC107" s="2" t="s">
        <v>1041</v>
      </c>
      <c r="AF107" s="167" t="s">
        <v>1672</v>
      </c>
      <c r="AI107" s="6">
        <v>2</v>
      </c>
      <c r="AJ107" s="114" t="str">
        <f ca="1">IF((WEEKDAY(TODAY(),2))=6,"10:00","09:00")</f>
        <v>09:00</v>
      </c>
      <c r="AK107" s="58">
        <v>0.54166666666666696</v>
      </c>
      <c r="AL107" s="58" t="str">
        <f t="shared" ca="1" si="9"/>
        <v>09:00 - 13:00</v>
      </c>
      <c r="AM107" s="151">
        <v>6</v>
      </c>
      <c r="AN107" s="95">
        <f t="shared" si="15"/>
        <v>495424</v>
      </c>
      <c r="AO107" s="94" t="b">
        <v>1</v>
      </c>
      <c r="AP107" s="34">
        <f t="shared" si="10"/>
        <v>1548.2</v>
      </c>
      <c r="AQ107" s="23">
        <f t="shared" si="11"/>
        <v>3</v>
      </c>
      <c r="AR107" s="35" t="s">
        <v>48</v>
      </c>
      <c r="AW107" s="63" t="str">
        <f t="shared" ca="1" si="12"/>
        <v>12:33:30</v>
      </c>
      <c r="AX107" s="152"/>
      <c r="AY107" s="160">
        <v>1</v>
      </c>
      <c r="AZ107" s="10"/>
      <c r="BA107" s="104" t="str">
        <f t="shared" si="13"/>
        <v>УСПЕНСКОЕ-ВЛ-3С1/2</v>
      </c>
      <c r="BB107" s="85">
        <f>AP107*3+10*60</f>
        <v>5244.6</v>
      </c>
      <c r="BD107" s="123"/>
      <c r="BE107" s="117" t="s">
        <v>1315</v>
      </c>
      <c r="BF107" s="89" t="s">
        <v>1315</v>
      </c>
      <c r="BG107" s="89" t="s">
        <v>1315</v>
      </c>
      <c r="BH107" s="89" t="s">
        <v>1315</v>
      </c>
      <c r="BI107" s="89">
        <v>-27.703333333333333</v>
      </c>
      <c r="BJ107" s="89" t="s">
        <v>1315</v>
      </c>
      <c r="BK107" s="89" t="s">
        <v>1315</v>
      </c>
      <c r="BL107" s="36" t="s">
        <v>990</v>
      </c>
    </row>
    <row r="108" spans="3:64" ht="15" customHeight="1" x14ac:dyDescent="0.3">
      <c r="C108" s="1">
        <v>88</v>
      </c>
      <c r="D108" s="6">
        <v>25816</v>
      </c>
      <c r="E108" s="6">
        <v>4816</v>
      </c>
      <c r="F108" s="1" t="s">
        <v>1402</v>
      </c>
      <c r="G108" s="8" t="s">
        <v>43</v>
      </c>
      <c r="H108" s="9">
        <v>21.700000000000003</v>
      </c>
      <c r="I108" s="9">
        <v>11.39</v>
      </c>
      <c r="J108" s="9" t="s">
        <v>1831</v>
      </c>
      <c r="K108" s="1" t="s">
        <v>1772</v>
      </c>
      <c r="M108" s="2" t="s">
        <v>1328</v>
      </c>
      <c r="N108" s="1">
        <v>1</v>
      </c>
      <c r="O108" s="1">
        <v>1</v>
      </c>
      <c r="P108" s="1" t="s">
        <v>72</v>
      </c>
      <c r="Q108" s="10" t="s">
        <v>1188</v>
      </c>
      <c r="R108" t="s">
        <v>2188</v>
      </c>
      <c r="S108" t="s">
        <v>2189</v>
      </c>
      <c r="T108" t="s">
        <v>2190</v>
      </c>
      <c r="U108" t="s">
        <v>2181</v>
      </c>
      <c r="V108" t="s">
        <v>2191</v>
      </c>
      <c r="W108">
        <v>9949331042</v>
      </c>
      <c r="X108" t="s">
        <v>2183</v>
      </c>
      <c r="Y108" t="s">
        <v>2118</v>
      </c>
      <c r="Z108" t="s">
        <v>2184</v>
      </c>
      <c r="AA108">
        <v>8</v>
      </c>
      <c r="AB108" s="6" t="s">
        <v>781</v>
      </c>
      <c r="AC108" s="2" t="s">
        <v>292</v>
      </c>
      <c r="AF108" s="171" t="s">
        <v>732</v>
      </c>
      <c r="AI108" s="6">
        <v>1</v>
      </c>
      <c r="AJ108" s="114" t="str">
        <f ca="1">IF((WEEKDAY(TODAY(),2))=6,"10:00","09:00")</f>
        <v>09:00</v>
      </c>
      <c r="AK108" s="58">
        <v>0.58333333333333337</v>
      </c>
      <c r="AL108" s="58" t="str">
        <f t="shared" ca="1" si="9"/>
        <v>09:00 - 14:00</v>
      </c>
      <c r="AM108" s="151">
        <v>5</v>
      </c>
      <c r="AN108" s="95">
        <f t="shared" si="15"/>
        <v>300000</v>
      </c>
      <c r="AO108" s="94" t="b">
        <v>1</v>
      </c>
      <c r="AP108" s="34">
        <f t="shared" si="10"/>
        <v>661.80000000000007</v>
      </c>
      <c r="AQ108" s="23">
        <f t="shared" si="11"/>
        <v>2</v>
      </c>
      <c r="AR108" s="35" t="s">
        <v>48</v>
      </c>
      <c r="AU108" s="46"/>
      <c r="AW108" s="63" t="str">
        <f t="shared" ca="1" si="12"/>
        <v>09:00</v>
      </c>
      <c r="AX108" s="152"/>
      <c r="AY108" s="160">
        <v>2</v>
      </c>
      <c r="AZ108" s="10"/>
      <c r="BA108" s="104" t="str">
        <f t="shared" si="13"/>
        <v>ЛОПАТИНО-СОЛНЕЧНЫЙ-Б-Р-10</v>
      </c>
      <c r="BB108" s="85">
        <f>AP108*3.3+10*60</f>
        <v>2783.94</v>
      </c>
      <c r="BD108" s="123"/>
      <c r="BE108" s="117" t="s">
        <v>1315</v>
      </c>
      <c r="BF108" s="89" t="s">
        <v>1315</v>
      </c>
      <c r="BG108" s="89" t="s">
        <v>1315</v>
      </c>
      <c r="BH108" s="89" t="s">
        <v>1315</v>
      </c>
      <c r="BI108" s="89">
        <v>-63.149000000000015</v>
      </c>
      <c r="BJ108" s="89">
        <v>15.304666666666662</v>
      </c>
      <c r="BK108" s="89" t="s">
        <v>1315</v>
      </c>
      <c r="BL108" s="1" t="s">
        <v>291</v>
      </c>
    </row>
    <row r="109" spans="3:64" ht="15" customHeight="1" x14ac:dyDescent="0.3">
      <c r="C109" s="1">
        <v>83</v>
      </c>
      <c r="D109" s="6">
        <v>257153</v>
      </c>
      <c r="E109" s="6">
        <v>4153</v>
      </c>
      <c r="F109" s="40" t="s">
        <v>1398</v>
      </c>
      <c r="G109" s="8" t="s">
        <v>43</v>
      </c>
      <c r="H109" s="9">
        <v>19.39</v>
      </c>
      <c r="I109" s="9">
        <v>5.89</v>
      </c>
      <c r="J109" s="9" t="s">
        <v>1315</v>
      </c>
      <c r="K109" s="1" t="s">
        <v>1772</v>
      </c>
      <c r="M109" s="2" t="s">
        <v>2035</v>
      </c>
      <c r="N109" s="1">
        <v>1</v>
      </c>
      <c r="O109" s="1">
        <v>2</v>
      </c>
      <c r="P109" s="1" t="s">
        <v>72</v>
      </c>
      <c r="Q109" s="10" t="s">
        <v>1084</v>
      </c>
      <c r="R109" t="s">
        <v>2188</v>
      </c>
      <c r="S109" t="s">
        <v>2189</v>
      </c>
      <c r="T109" t="s">
        <v>2190</v>
      </c>
      <c r="U109" t="s">
        <v>2181</v>
      </c>
      <c r="V109" t="s">
        <v>2191</v>
      </c>
      <c r="W109">
        <v>9949331042</v>
      </c>
      <c r="X109" t="s">
        <v>2183</v>
      </c>
      <c r="Y109" t="s">
        <v>2118</v>
      </c>
      <c r="Z109" t="s">
        <v>2184</v>
      </c>
      <c r="AA109">
        <v>8</v>
      </c>
      <c r="AB109" s="6" t="s">
        <v>777</v>
      </c>
      <c r="AC109" s="2" t="s">
        <v>1083</v>
      </c>
      <c r="AF109" s="171" t="s">
        <v>732</v>
      </c>
      <c r="AI109" s="6">
        <v>2</v>
      </c>
      <c r="AJ109" s="114" t="str">
        <f ca="1">IF((WEEKDAY(TODAY(),2))=6,"10:00","09:30")</f>
        <v>09:30</v>
      </c>
      <c r="AK109" s="58">
        <v>0.54166666666666696</v>
      </c>
      <c r="AL109" s="58" t="str">
        <f t="shared" ca="1" si="9"/>
        <v>09:30 - 13:00</v>
      </c>
      <c r="AM109" s="151">
        <v>5</v>
      </c>
      <c r="AN109" s="95">
        <f t="shared" si="15"/>
        <v>300000</v>
      </c>
      <c r="AO109" s="94" t="b">
        <v>1</v>
      </c>
      <c r="AP109" s="34">
        <f t="shared" si="10"/>
        <v>505.6</v>
      </c>
      <c r="AQ109" s="23">
        <f t="shared" si="11"/>
        <v>1</v>
      </c>
      <c r="AR109" s="35" t="s">
        <v>48</v>
      </c>
      <c r="AU109" s="46"/>
      <c r="AW109" s="63" t="str">
        <f t="shared" ca="1" si="12"/>
        <v>10:00:21</v>
      </c>
      <c r="AX109" s="152"/>
      <c r="AY109" s="160">
        <v>1</v>
      </c>
      <c r="AZ109" s="10"/>
      <c r="BA109" s="104" t="str">
        <f t="shared" si="13"/>
        <v>ДРОЖЖИНО-ЮЖНАЯ-11</v>
      </c>
      <c r="BB109" s="85">
        <f>AP109*4.6+10*60</f>
        <v>2925.7599999999998</v>
      </c>
      <c r="BD109" s="123"/>
      <c r="BE109" s="117" t="s">
        <v>1315</v>
      </c>
      <c r="BF109" s="89">
        <v>62.906666666666652</v>
      </c>
      <c r="BG109" s="89" t="s">
        <v>1315</v>
      </c>
      <c r="BH109" s="89" t="s">
        <v>1315</v>
      </c>
      <c r="BI109" s="89" t="s">
        <v>1315</v>
      </c>
      <c r="BJ109" s="89" t="s">
        <v>1315</v>
      </c>
      <c r="BK109" s="89" t="s">
        <v>1315</v>
      </c>
      <c r="BL109" s="40" t="s">
        <v>1081</v>
      </c>
    </row>
    <row r="110" spans="3:64" ht="15" customHeight="1" x14ac:dyDescent="0.3">
      <c r="C110" s="1">
        <v>61</v>
      </c>
      <c r="D110" s="6">
        <v>7236</v>
      </c>
      <c r="E110" s="6">
        <v>4236</v>
      </c>
      <c r="F110" s="54" t="s">
        <v>1393</v>
      </c>
      <c r="G110" s="8" t="s">
        <v>50</v>
      </c>
      <c r="H110" s="9">
        <v>14.21</v>
      </c>
      <c r="I110" s="9">
        <v>3.55</v>
      </c>
      <c r="J110" s="9" t="s">
        <v>1315</v>
      </c>
      <c r="K110" s="1" t="s">
        <v>1772</v>
      </c>
      <c r="M110" s="2" t="s">
        <v>2049</v>
      </c>
      <c r="N110" s="1">
        <v>1</v>
      </c>
      <c r="O110" s="1">
        <v>3</v>
      </c>
      <c r="P110" s="1" t="s">
        <v>51</v>
      </c>
      <c r="Q110" s="10" t="s">
        <v>1276</v>
      </c>
      <c r="R110" t="s">
        <v>2188</v>
      </c>
      <c r="S110" t="s">
        <v>2189</v>
      </c>
      <c r="T110" t="s">
        <v>2190</v>
      </c>
      <c r="U110" t="s">
        <v>2181</v>
      </c>
      <c r="V110" t="s">
        <v>2191</v>
      </c>
      <c r="W110">
        <v>9949331042</v>
      </c>
      <c r="X110" t="s">
        <v>2183</v>
      </c>
      <c r="Y110" t="s">
        <v>2118</v>
      </c>
      <c r="Z110" t="s">
        <v>2184</v>
      </c>
      <c r="AA110">
        <v>8</v>
      </c>
      <c r="AB110" s="6" t="s">
        <v>769</v>
      </c>
      <c r="AC110" s="2" t="s">
        <v>1277</v>
      </c>
      <c r="AF110" s="153" t="s">
        <v>1672</v>
      </c>
      <c r="AI110" s="6">
        <v>2</v>
      </c>
      <c r="AJ110" s="13" t="s">
        <v>1328</v>
      </c>
      <c r="AK110" s="58">
        <v>0.54166666666666696</v>
      </c>
      <c r="AL110" s="58" t="str">
        <f t="shared" si="9"/>
        <v>09:00 - 13:00</v>
      </c>
      <c r="AM110" s="151">
        <v>5</v>
      </c>
      <c r="AN110" s="95">
        <f t="shared" si="15"/>
        <v>300000</v>
      </c>
      <c r="AO110" s="94" t="b">
        <v>1</v>
      </c>
      <c r="AP110" s="34">
        <f t="shared" si="10"/>
        <v>355.20000000000005</v>
      </c>
      <c r="AQ110" s="23">
        <f t="shared" si="11"/>
        <v>1</v>
      </c>
      <c r="AR110" s="35" t="s">
        <v>48</v>
      </c>
      <c r="AU110" s="46"/>
      <c r="AW110" s="63" t="str">
        <f t="shared" si="12"/>
        <v>11:18:07</v>
      </c>
      <c r="AX110" s="152"/>
      <c r="AY110" s="160">
        <v>1</v>
      </c>
      <c r="AZ110" s="10"/>
      <c r="BA110" s="104" t="str">
        <f t="shared" si="13"/>
        <v>ДМИТР-ДОНСКОГО-Б-Р-1</v>
      </c>
      <c r="BB110" s="85">
        <f>AP110*4+10*60</f>
        <v>2020.8000000000002</v>
      </c>
      <c r="BD110" s="123"/>
      <c r="BE110" s="117" t="s">
        <v>1315</v>
      </c>
      <c r="BF110" s="89" t="s">
        <v>1315</v>
      </c>
      <c r="BG110" s="89">
        <v>-2.7533333333333303</v>
      </c>
      <c r="BH110" s="89" t="s">
        <v>1315</v>
      </c>
      <c r="BI110" s="89" t="s">
        <v>1315</v>
      </c>
      <c r="BJ110" s="89" t="s">
        <v>1315</v>
      </c>
      <c r="BK110" s="89" t="s">
        <v>1315</v>
      </c>
      <c r="BL110" s="54" t="s">
        <v>1275</v>
      </c>
    </row>
    <row r="111" spans="3:64" ht="15" customHeight="1" x14ac:dyDescent="0.3">
      <c r="C111" s="1">
        <v>57</v>
      </c>
      <c r="D111" s="6">
        <v>784</v>
      </c>
      <c r="E111" s="6">
        <v>4784</v>
      </c>
      <c r="F111" s="18" t="s">
        <v>1389</v>
      </c>
      <c r="G111" s="8" t="s">
        <v>50</v>
      </c>
      <c r="H111" s="9">
        <v>8.19</v>
      </c>
      <c r="I111" s="9">
        <v>14.16</v>
      </c>
      <c r="J111" s="9" t="s">
        <v>1315</v>
      </c>
      <c r="K111" s="1" t="s">
        <v>1772</v>
      </c>
      <c r="M111" s="2" t="s">
        <v>2050</v>
      </c>
      <c r="N111" s="1">
        <v>1</v>
      </c>
      <c r="O111" s="1">
        <v>4</v>
      </c>
      <c r="P111" s="1" t="s">
        <v>51</v>
      </c>
      <c r="Q111" s="10" t="s">
        <v>264</v>
      </c>
      <c r="R111" t="s">
        <v>2188</v>
      </c>
      <c r="S111" t="s">
        <v>2189</v>
      </c>
      <c r="T111" t="s">
        <v>2190</v>
      </c>
      <c r="U111" t="s">
        <v>2181</v>
      </c>
      <c r="V111" t="s">
        <v>2191</v>
      </c>
      <c r="W111">
        <v>9949331042</v>
      </c>
      <c r="X111" t="s">
        <v>2183</v>
      </c>
      <c r="Y111" t="s">
        <v>2118</v>
      </c>
      <c r="Z111" t="s">
        <v>2184</v>
      </c>
      <c r="AA111">
        <v>8</v>
      </c>
      <c r="AB111" s="6" t="s">
        <v>765</v>
      </c>
      <c r="AC111" s="2" t="s">
        <v>265</v>
      </c>
      <c r="AF111" s="14" t="s">
        <v>732</v>
      </c>
      <c r="AI111" s="6">
        <v>2</v>
      </c>
      <c r="AJ111" s="13" t="s">
        <v>1329</v>
      </c>
      <c r="AK111" s="174">
        <v>0.64583333333333337</v>
      </c>
      <c r="AL111" s="58" t="str">
        <f t="shared" si="9"/>
        <v>09:30 - 15:30</v>
      </c>
      <c r="AM111" s="151">
        <v>5</v>
      </c>
      <c r="AN111" s="95">
        <f t="shared" si="15"/>
        <v>300000</v>
      </c>
      <c r="AO111" s="94" t="b">
        <v>1</v>
      </c>
      <c r="AP111" s="34">
        <f t="shared" si="10"/>
        <v>447</v>
      </c>
      <c r="AQ111" s="23">
        <f t="shared" si="11"/>
        <v>1</v>
      </c>
      <c r="AR111" s="35" t="s">
        <v>48</v>
      </c>
      <c r="AU111" s="46"/>
      <c r="AW111" s="63" t="str">
        <f t="shared" si="12"/>
        <v>12:06:13</v>
      </c>
      <c r="AX111" s="152"/>
      <c r="AY111" s="160">
        <v>3</v>
      </c>
      <c r="AZ111" s="10"/>
      <c r="BA111" s="104" t="str">
        <f t="shared" si="13"/>
        <v>АК-ЯНГЕЛЯ-2</v>
      </c>
      <c r="BB111" s="87">
        <f>AP111*3.7+10*60</f>
        <v>2253.9</v>
      </c>
      <c r="BD111" s="123"/>
      <c r="BE111" s="117">
        <v>23.453333333333333</v>
      </c>
      <c r="BF111" s="89">
        <v>1.748333333333342</v>
      </c>
      <c r="BG111" s="89" t="s">
        <v>1315</v>
      </c>
      <c r="BH111" s="89" t="s">
        <v>1315</v>
      </c>
      <c r="BI111" s="89">
        <v>25.995000000000033</v>
      </c>
      <c r="BJ111" s="89" t="s">
        <v>1315</v>
      </c>
      <c r="BK111" s="89">
        <v>8.2333333333333414</v>
      </c>
      <c r="BL111" s="1" t="s">
        <v>263</v>
      </c>
    </row>
    <row r="112" spans="3:64" ht="15" customHeight="1" x14ac:dyDescent="0.3">
      <c r="C112" s="1">
        <v>518</v>
      </c>
      <c r="D112" s="6">
        <v>859</v>
      </c>
      <c r="E112" s="6">
        <v>4859</v>
      </c>
      <c r="F112" s="10" t="s">
        <v>1424</v>
      </c>
      <c r="G112" s="8" t="s">
        <v>50</v>
      </c>
      <c r="H112" s="9">
        <v>36.15</v>
      </c>
      <c r="I112" s="9">
        <v>10.78</v>
      </c>
      <c r="J112" s="9" t="s">
        <v>1315</v>
      </c>
      <c r="K112" s="1" t="s">
        <v>1772</v>
      </c>
      <c r="M112" s="2" t="s">
        <v>2040</v>
      </c>
      <c r="N112" s="1">
        <v>1</v>
      </c>
      <c r="O112" s="1">
        <v>5</v>
      </c>
      <c r="P112" s="1" t="s">
        <v>51</v>
      </c>
      <c r="Q112" s="10" t="s">
        <v>587</v>
      </c>
      <c r="R112" t="s">
        <v>2188</v>
      </c>
      <c r="S112" t="s">
        <v>2189</v>
      </c>
      <c r="T112" t="s">
        <v>2190</v>
      </c>
      <c r="U112" t="s">
        <v>2181</v>
      </c>
      <c r="V112" t="s">
        <v>2191</v>
      </c>
      <c r="W112">
        <v>9949331042</v>
      </c>
      <c r="X112" t="s">
        <v>2183</v>
      </c>
      <c r="Y112" t="s">
        <v>2118</v>
      </c>
      <c r="Z112" t="s">
        <v>2184</v>
      </c>
      <c r="AA112">
        <v>8</v>
      </c>
      <c r="AB112" s="6" t="s">
        <v>1111</v>
      </c>
      <c r="AC112" s="2" t="s">
        <v>588</v>
      </c>
      <c r="AF112" s="155" t="s">
        <v>732</v>
      </c>
      <c r="AI112" s="6">
        <v>2</v>
      </c>
      <c r="AJ112" s="13" t="s">
        <v>1329</v>
      </c>
      <c r="AK112" s="58">
        <v>0.58333333333333337</v>
      </c>
      <c r="AL112" s="58" t="str">
        <f t="shared" si="9"/>
        <v>09:30 - 14:00</v>
      </c>
      <c r="AM112" s="151">
        <v>4</v>
      </c>
      <c r="AN112" s="95">
        <f t="shared" si="15"/>
        <v>300000</v>
      </c>
      <c r="AO112" s="94" t="b">
        <v>1</v>
      </c>
      <c r="AP112" s="34">
        <f t="shared" si="10"/>
        <v>938.6</v>
      </c>
      <c r="AQ112" s="23">
        <f t="shared" si="11"/>
        <v>2</v>
      </c>
      <c r="AR112" s="35" t="s">
        <v>48</v>
      </c>
      <c r="AW112" s="63" t="str">
        <f t="shared" si="12"/>
        <v>13:12:52</v>
      </c>
      <c r="AX112" s="152"/>
      <c r="AY112" s="160">
        <v>2</v>
      </c>
      <c r="AZ112" s="10"/>
      <c r="BA112" s="104" t="str">
        <f t="shared" si="13"/>
        <v>СУДОСТРОИТЕЛЬНАЯ-1</v>
      </c>
      <c r="BB112" s="85">
        <f>AP112*3+10*60</f>
        <v>3415.8</v>
      </c>
      <c r="BD112" s="123"/>
      <c r="BE112" s="117">
        <v>-14.309999999999999</v>
      </c>
      <c r="BF112" s="89" t="s">
        <v>1315</v>
      </c>
      <c r="BG112" s="89">
        <v>2.3900000000000006</v>
      </c>
      <c r="BH112" s="89">
        <v>-36.36666666666666</v>
      </c>
      <c r="BI112" s="89" t="s">
        <v>1315</v>
      </c>
      <c r="BJ112" s="89" t="s">
        <v>1315</v>
      </c>
      <c r="BK112" s="89" t="s">
        <v>1315</v>
      </c>
      <c r="BL112" s="10" t="s">
        <v>586</v>
      </c>
    </row>
    <row r="113" spans="1:65" ht="15" customHeight="1" x14ac:dyDescent="0.3">
      <c r="C113" s="1">
        <v>279</v>
      </c>
      <c r="D113" s="6">
        <v>685</v>
      </c>
      <c r="E113" s="6">
        <v>7685</v>
      </c>
      <c r="F113" s="1" t="s">
        <v>1522</v>
      </c>
      <c r="G113" s="8" t="s">
        <v>50</v>
      </c>
      <c r="H113" s="9">
        <v>15.16</v>
      </c>
      <c r="I113" s="9">
        <v>11.37</v>
      </c>
      <c r="J113" s="9" t="s">
        <v>1801</v>
      </c>
      <c r="K113" s="1" t="s">
        <v>1712</v>
      </c>
      <c r="M113" s="2" t="s">
        <v>1326</v>
      </c>
      <c r="N113" s="1">
        <v>1</v>
      </c>
      <c r="O113" s="1">
        <v>1</v>
      </c>
      <c r="P113" s="1" t="s">
        <v>51</v>
      </c>
      <c r="Q113" s="10" t="s">
        <v>415</v>
      </c>
      <c r="R113" t="s">
        <v>2192</v>
      </c>
      <c r="S113" t="s">
        <v>2193</v>
      </c>
      <c r="T113">
        <v>89035730510</v>
      </c>
      <c r="U113" t="s">
        <v>2181</v>
      </c>
      <c r="V113" t="s">
        <v>2194</v>
      </c>
      <c r="W113">
        <v>9949331172</v>
      </c>
      <c r="X113" t="s">
        <v>2183</v>
      </c>
      <c r="Y113" t="s">
        <v>2118</v>
      </c>
      <c r="Z113" t="s">
        <v>2184</v>
      </c>
      <c r="AA113">
        <v>8</v>
      </c>
      <c r="AB113" s="6" t="s">
        <v>875</v>
      </c>
      <c r="AC113" s="2" t="s">
        <v>416</v>
      </c>
      <c r="AF113" s="53" t="s">
        <v>1680</v>
      </c>
      <c r="AI113" s="6">
        <v>1</v>
      </c>
      <c r="AJ113" s="13" t="s">
        <v>1326</v>
      </c>
      <c r="AK113" s="58">
        <v>0.34375</v>
      </c>
      <c r="AL113" s="58" t="str">
        <f t="shared" si="9"/>
        <v>08:00 - 08:15</v>
      </c>
      <c r="AM113" s="151">
        <v>2</v>
      </c>
      <c r="AN113" s="95">
        <f t="shared" si="15"/>
        <v>300000</v>
      </c>
      <c r="AO113" s="94" t="b">
        <v>1</v>
      </c>
      <c r="AP113" s="34">
        <f t="shared" si="10"/>
        <v>530.59999999999991</v>
      </c>
      <c r="AQ113" s="23">
        <f t="shared" si="11"/>
        <v>1</v>
      </c>
      <c r="AR113" s="35" t="s">
        <v>48</v>
      </c>
      <c r="AW113" s="63" t="str">
        <f t="shared" si="12"/>
        <v>08:00</v>
      </c>
      <c r="AX113" s="172"/>
      <c r="AY113" s="160">
        <v>1</v>
      </c>
      <c r="AZ113" s="10"/>
      <c r="BA113" s="104" t="str">
        <f t="shared" si="13"/>
        <v>МИРА-ПР-Т-146</v>
      </c>
      <c r="BB113" s="87">
        <f>AP113*3.5+10*60</f>
        <v>2457.0999999999995</v>
      </c>
      <c r="BD113" s="123"/>
      <c r="BE113" s="117" t="s">
        <v>1315</v>
      </c>
      <c r="BF113" s="89" t="s">
        <v>1315</v>
      </c>
      <c r="BG113" s="89" t="s">
        <v>1315</v>
      </c>
      <c r="BH113" s="89" t="s">
        <v>1315</v>
      </c>
      <c r="BI113" s="89">
        <v>-40.18666666666666</v>
      </c>
      <c r="BJ113" s="89" t="s">
        <v>1315</v>
      </c>
      <c r="BK113" s="89">
        <v>-14.113333333333337</v>
      </c>
      <c r="BL113" s="1" t="s">
        <v>414</v>
      </c>
    </row>
    <row r="114" spans="1:65" ht="15" customHeight="1" x14ac:dyDescent="0.3">
      <c r="C114" s="1">
        <v>278</v>
      </c>
      <c r="D114" s="6">
        <v>908</v>
      </c>
      <c r="E114" s="6">
        <v>4908</v>
      </c>
      <c r="F114" s="10" t="s">
        <v>1443</v>
      </c>
      <c r="G114" s="8" t="s">
        <v>50</v>
      </c>
      <c r="H114" s="9">
        <v>20.77</v>
      </c>
      <c r="I114" s="9">
        <v>4.3899999999999997</v>
      </c>
      <c r="J114" s="9" t="s">
        <v>1315</v>
      </c>
      <c r="K114" s="1" t="s">
        <v>1712</v>
      </c>
      <c r="M114" s="2" t="s">
        <v>1328</v>
      </c>
      <c r="N114" s="1">
        <v>1</v>
      </c>
      <c r="O114" s="1">
        <v>2</v>
      </c>
      <c r="P114" s="1" t="s">
        <v>51</v>
      </c>
      <c r="Q114" s="10" t="s">
        <v>135</v>
      </c>
      <c r="R114" t="s">
        <v>2192</v>
      </c>
      <c r="S114" t="s">
        <v>2193</v>
      </c>
      <c r="T114">
        <v>89035730510</v>
      </c>
      <c r="U114" t="s">
        <v>2181</v>
      </c>
      <c r="V114" t="s">
        <v>2194</v>
      </c>
      <c r="W114">
        <v>9949331172</v>
      </c>
      <c r="X114" t="s">
        <v>2183</v>
      </c>
      <c r="Y114" t="s">
        <v>2118</v>
      </c>
      <c r="Z114" t="s">
        <v>2184</v>
      </c>
      <c r="AA114">
        <v>8</v>
      </c>
      <c r="AB114" s="6" t="s">
        <v>874</v>
      </c>
      <c r="AC114" s="2" t="s">
        <v>136</v>
      </c>
      <c r="AF114" s="14" t="s">
        <v>1679</v>
      </c>
      <c r="AI114" s="6">
        <v>2</v>
      </c>
      <c r="AJ114" s="13" t="s">
        <v>1328</v>
      </c>
      <c r="AK114" t="str">
        <f ca="1">IF((WEEKDAY(TODAY(),2))=4,"11:00","12:00")</f>
        <v>12:00</v>
      </c>
      <c r="AL114" s="58" t="str">
        <f t="shared" ca="1" si="9"/>
        <v>09:00 - 12:00</v>
      </c>
      <c r="AM114" s="151">
        <v>2</v>
      </c>
      <c r="AN114" s="95">
        <f t="shared" si="15"/>
        <v>300000</v>
      </c>
      <c r="AO114" s="94" t="b">
        <v>1</v>
      </c>
      <c r="AP114" s="34">
        <f t="shared" si="10"/>
        <v>503.2</v>
      </c>
      <c r="AQ114" s="23">
        <f t="shared" si="11"/>
        <v>1</v>
      </c>
      <c r="AR114" s="35" t="s">
        <v>48</v>
      </c>
      <c r="AW114" s="63" t="str">
        <f t="shared" si="12"/>
        <v>09:00</v>
      </c>
      <c r="AX114" s="172"/>
      <c r="AY114" s="160">
        <v>1</v>
      </c>
      <c r="AZ114" s="10"/>
      <c r="BA114" s="104" t="str">
        <f t="shared" si="13"/>
        <v>МАЛОМОСКОВСКАЯ-УЛ-14</v>
      </c>
      <c r="BB114" s="85">
        <f>AP114*3+10*60</f>
        <v>2109.6</v>
      </c>
      <c r="BD114" s="123"/>
      <c r="BE114" s="117" t="s">
        <v>1315</v>
      </c>
      <c r="BF114" s="89">
        <v>2.18333333333333</v>
      </c>
      <c r="BG114" s="89">
        <v>-48.45</v>
      </c>
      <c r="BH114" s="89" t="s">
        <v>1315</v>
      </c>
      <c r="BI114" s="89" t="s">
        <v>1315</v>
      </c>
      <c r="BJ114" s="89" t="s">
        <v>1315</v>
      </c>
      <c r="BK114" s="89">
        <v>11.423333333333343</v>
      </c>
      <c r="BL114" s="10" t="s">
        <v>134</v>
      </c>
    </row>
    <row r="115" spans="1:65" ht="15" customHeight="1" x14ac:dyDescent="0.3">
      <c r="C115" s="1">
        <v>278</v>
      </c>
      <c r="D115" s="6">
        <v>908</v>
      </c>
      <c r="E115" s="6">
        <v>4908</v>
      </c>
      <c r="F115" s="10" t="s">
        <v>1443</v>
      </c>
      <c r="G115" s="8" t="s">
        <v>50</v>
      </c>
      <c r="H115" s="9">
        <v>10</v>
      </c>
      <c r="I115" s="9">
        <v>0</v>
      </c>
      <c r="J115" s="9" t="s">
        <v>1315</v>
      </c>
      <c r="K115" s="1" t="s">
        <v>1712</v>
      </c>
      <c r="M115" s="2" t="s">
        <v>1328</v>
      </c>
      <c r="N115" s="1">
        <v>1</v>
      </c>
      <c r="O115" s="1">
        <v>2</v>
      </c>
      <c r="P115" s="1" t="s">
        <v>51</v>
      </c>
      <c r="Q115" s="56" t="s">
        <v>1695</v>
      </c>
      <c r="R115" t="s">
        <v>2192</v>
      </c>
      <c r="S115" t="s">
        <v>2193</v>
      </c>
      <c r="T115">
        <v>89035730510</v>
      </c>
      <c r="U115" t="s">
        <v>2181</v>
      </c>
      <c r="V115" t="s">
        <v>2194</v>
      </c>
      <c r="W115">
        <v>9949331172</v>
      </c>
      <c r="X115" t="s">
        <v>2183</v>
      </c>
      <c r="Y115" t="s">
        <v>2118</v>
      </c>
      <c r="Z115" t="s">
        <v>2184</v>
      </c>
      <c r="AA115">
        <v>8</v>
      </c>
      <c r="AB115" s="6" t="s">
        <v>1696</v>
      </c>
      <c r="AC115" s="2" t="s">
        <v>136</v>
      </c>
      <c r="AF115" s="14" t="s">
        <v>1679</v>
      </c>
      <c r="AH115" s="25"/>
      <c r="AI115" s="6">
        <v>2</v>
      </c>
      <c r="AJ115" s="13" t="s">
        <v>1328</v>
      </c>
      <c r="AK115" t="str">
        <f ca="1">IF((WEEKDAY(TODAY(),2))=4,"11:00","12:00")</f>
        <v>12:00</v>
      </c>
      <c r="AL115" s="58" t="str">
        <f t="shared" ca="1" si="9"/>
        <v>09:00 - 12:00</v>
      </c>
      <c r="AM115" s="151">
        <v>2</v>
      </c>
      <c r="AN115" s="95">
        <f t="shared" si="15"/>
        <v>300000</v>
      </c>
      <c r="AO115" s="94" t="b">
        <v>1</v>
      </c>
      <c r="AP115" s="34">
        <f t="shared" si="10"/>
        <v>200</v>
      </c>
      <c r="AQ115" s="23">
        <f t="shared" si="11"/>
        <v>1</v>
      </c>
      <c r="AR115" s="35" t="s">
        <v>48</v>
      </c>
      <c r="AW115" s="63" t="str">
        <f t="shared" si="12"/>
        <v>09:00</v>
      </c>
      <c r="AX115" s="172"/>
      <c r="AY115" s="160">
        <v>1</v>
      </c>
      <c r="AZ115" s="10"/>
      <c r="BA115" s="104" t="str">
        <f t="shared" si="13"/>
        <v>МАЛОМОСКОВСКАЯ-УЛ-14</v>
      </c>
      <c r="BB115" s="85">
        <f>AP115*3+10*60</f>
        <v>1200</v>
      </c>
      <c r="BD115" s="123"/>
      <c r="BE115" s="117" t="s">
        <v>1315</v>
      </c>
      <c r="BF115" s="89">
        <v>2.18333333333333</v>
      </c>
      <c r="BG115" s="89">
        <v>-48.45</v>
      </c>
      <c r="BH115" s="89" t="s">
        <v>1315</v>
      </c>
      <c r="BI115" s="89" t="s">
        <v>1315</v>
      </c>
      <c r="BJ115" s="89" t="s">
        <v>1315</v>
      </c>
      <c r="BK115" s="89">
        <v>11.423333333333343</v>
      </c>
      <c r="BL115" s="10" t="s">
        <v>134</v>
      </c>
    </row>
    <row r="116" spans="1:65" ht="15" customHeight="1" x14ac:dyDescent="0.3">
      <c r="C116" s="1">
        <v>281</v>
      </c>
      <c r="D116" s="6">
        <v>747</v>
      </c>
      <c r="E116" s="6">
        <v>4747</v>
      </c>
      <c r="F116" s="1" t="s">
        <v>1444</v>
      </c>
      <c r="G116" s="8" t="s">
        <v>50</v>
      </c>
      <c r="H116" s="9">
        <v>9.49</v>
      </c>
      <c r="I116" s="9">
        <v>3.25</v>
      </c>
      <c r="J116" s="9" t="s">
        <v>1315</v>
      </c>
      <c r="K116" s="1" t="s">
        <v>1712</v>
      </c>
      <c r="M116" s="2" t="s">
        <v>1864</v>
      </c>
      <c r="N116" s="1">
        <v>1</v>
      </c>
      <c r="O116" s="1">
        <v>3</v>
      </c>
      <c r="P116" s="1" t="s">
        <v>51</v>
      </c>
      <c r="Q116" s="10" t="s">
        <v>138</v>
      </c>
      <c r="R116" t="s">
        <v>2192</v>
      </c>
      <c r="S116" t="s">
        <v>2193</v>
      </c>
      <c r="T116">
        <v>89035730510</v>
      </c>
      <c r="U116" t="s">
        <v>2181</v>
      </c>
      <c r="V116" t="s">
        <v>2194</v>
      </c>
      <c r="W116">
        <v>9949331172</v>
      </c>
      <c r="X116" t="s">
        <v>2183</v>
      </c>
      <c r="Y116" t="s">
        <v>2118</v>
      </c>
      <c r="Z116" t="s">
        <v>2184</v>
      </c>
      <c r="AA116">
        <v>8</v>
      </c>
      <c r="AB116" s="6" t="s">
        <v>876</v>
      </c>
      <c r="AC116" s="2" t="s">
        <v>139</v>
      </c>
      <c r="AD116" s="48" t="s">
        <v>1173</v>
      </c>
      <c r="AE116" s="48" t="s">
        <v>1174</v>
      </c>
      <c r="AF116" s="153" t="s">
        <v>1672</v>
      </c>
      <c r="AI116" s="6">
        <v>2</v>
      </c>
      <c r="AJ116" s="13" t="s">
        <v>1328</v>
      </c>
      <c r="AK116" s="58">
        <v>0.54166666666666696</v>
      </c>
      <c r="AL116" s="58" t="str">
        <f t="shared" si="9"/>
        <v>09:00 - 13:00</v>
      </c>
      <c r="AM116" s="151">
        <v>2</v>
      </c>
      <c r="AN116" s="95">
        <f t="shared" si="15"/>
        <v>300000</v>
      </c>
      <c r="AO116" s="94" t="b">
        <v>1</v>
      </c>
      <c r="AP116" s="34">
        <f t="shared" si="10"/>
        <v>254.8</v>
      </c>
      <c r="AQ116" s="23">
        <f t="shared" si="11"/>
        <v>1</v>
      </c>
      <c r="AR116" s="35" t="s">
        <v>48</v>
      </c>
      <c r="AW116" s="63" t="str">
        <f t="shared" si="12"/>
        <v>09:47:24</v>
      </c>
      <c r="AX116" s="172"/>
      <c r="AY116" s="160">
        <v>1</v>
      </c>
      <c r="AZ116" s="10"/>
      <c r="BA116" s="104" t="str">
        <f t="shared" si="13"/>
        <v>ЯРОСЛАВСКОЕ-Ш-22</v>
      </c>
      <c r="BB116" s="85">
        <f>AP116*3+10*60</f>
        <v>1364.4</v>
      </c>
      <c r="BD116" s="123"/>
      <c r="BE116" s="117" t="s">
        <v>1315</v>
      </c>
      <c r="BF116" s="89" t="s">
        <v>1315</v>
      </c>
      <c r="BG116" s="89" t="s">
        <v>1315</v>
      </c>
      <c r="BH116" s="89" t="s">
        <v>1315</v>
      </c>
      <c r="BI116" s="89" t="s">
        <v>1315</v>
      </c>
      <c r="BJ116" s="89" t="s">
        <v>1315</v>
      </c>
      <c r="BK116" s="89" t="s">
        <v>1315</v>
      </c>
      <c r="BL116" s="1" t="s">
        <v>137</v>
      </c>
    </row>
    <row r="117" spans="1:65" ht="15" customHeight="1" x14ac:dyDescent="0.3">
      <c r="C117" s="1">
        <v>272</v>
      </c>
      <c r="D117" s="6">
        <v>87</v>
      </c>
      <c r="E117" s="6">
        <v>7087</v>
      </c>
      <c r="F117" s="1" t="s">
        <v>1518</v>
      </c>
      <c r="G117" s="8" t="s">
        <v>50</v>
      </c>
      <c r="H117" s="9">
        <v>9.48</v>
      </c>
      <c r="I117" s="9">
        <v>3.03</v>
      </c>
      <c r="J117" s="9" t="s">
        <v>1315</v>
      </c>
      <c r="K117" s="1" t="s">
        <v>1712</v>
      </c>
      <c r="M117" s="2" t="s">
        <v>1968</v>
      </c>
      <c r="N117" s="1">
        <v>1</v>
      </c>
      <c r="O117" s="1">
        <v>4</v>
      </c>
      <c r="P117" s="1" t="s">
        <v>51</v>
      </c>
      <c r="Q117" s="10" t="s">
        <v>409</v>
      </c>
      <c r="R117" t="s">
        <v>2192</v>
      </c>
      <c r="S117" t="s">
        <v>2193</v>
      </c>
      <c r="T117">
        <v>89035730510</v>
      </c>
      <c r="U117" t="s">
        <v>2181</v>
      </c>
      <c r="V117" t="s">
        <v>2194</v>
      </c>
      <c r="W117">
        <v>9949331172</v>
      </c>
      <c r="X117" t="s">
        <v>2183</v>
      </c>
      <c r="Y117" t="s">
        <v>2118</v>
      </c>
      <c r="Z117" t="s">
        <v>2184</v>
      </c>
      <c r="AA117">
        <v>8</v>
      </c>
      <c r="AB117" s="6" t="s">
        <v>870</v>
      </c>
      <c r="AC117" s="2" t="s">
        <v>410</v>
      </c>
      <c r="AF117" s="14" t="s">
        <v>732</v>
      </c>
      <c r="AG117" s="5" t="s">
        <v>28</v>
      </c>
      <c r="AH117" s="5">
        <v>100</v>
      </c>
      <c r="AI117" s="6">
        <v>2</v>
      </c>
      <c r="AJ117" s="13" t="s">
        <v>1329</v>
      </c>
      <c r="AK117" s="142" t="str">
        <f>IF(AP117&gt;2000,"15:00",IF(AP117&lt;1000,"16:30","16:00"))</f>
        <v>16:30</v>
      </c>
      <c r="AL117" s="58" t="str">
        <f t="shared" si="9"/>
        <v>09:30 - 16:30</v>
      </c>
      <c r="AM117" s="151"/>
      <c r="AN117" s="95">
        <f t="shared" si="15"/>
        <v>300000</v>
      </c>
      <c r="AO117" s="94" t="b">
        <v>1</v>
      </c>
      <c r="AP117" s="34">
        <f t="shared" si="10"/>
        <v>250.20000000000002</v>
      </c>
      <c r="AQ117" s="23">
        <f t="shared" si="11"/>
        <v>1</v>
      </c>
      <c r="AR117" s="35" t="s">
        <v>48</v>
      </c>
      <c r="AW117" s="63" t="str">
        <f t="shared" si="12"/>
        <v>10:38:49</v>
      </c>
      <c r="AX117" s="152"/>
      <c r="AY117" s="160">
        <v>2</v>
      </c>
      <c r="AZ117" s="10"/>
      <c r="BA117" s="104" t="str">
        <f t="shared" si="13"/>
        <v>МИРА-ПР-Т-49С1</v>
      </c>
      <c r="BB117" s="86">
        <f>AP117*4+10*60</f>
        <v>1600.8000000000002</v>
      </c>
      <c r="BD117" s="123"/>
      <c r="BE117" s="117" t="s">
        <v>1315</v>
      </c>
      <c r="BF117" s="89" t="s">
        <v>1315</v>
      </c>
      <c r="BG117" s="89" t="s">
        <v>1315</v>
      </c>
      <c r="BH117" s="89" t="s">
        <v>1315</v>
      </c>
      <c r="BI117" s="89" t="s">
        <v>1315</v>
      </c>
      <c r="BJ117" s="89" t="s">
        <v>1315</v>
      </c>
      <c r="BK117" s="89" t="s">
        <v>1315</v>
      </c>
      <c r="BL117" s="1" t="s">
        <v>408</v>
      </c>
    </row>
    <row r="118" spans="1:65" ht="15" customHeight="1" x14ac:dyDescent="0.3">
      <c r="C118" s="1">
        <v>594</v>
      </c>
      <c r="D118" s="6">
        <v>799</v>
      </c>
      <c r="E118" s="6">
        <v>4799</v>
      </c>
      <c r="F118" s="11" t="s">
        <v>1631</v>
      </c>
      <c r="G118" s="8" t="s">
        <v>50</v>
      </c>
      <c r="H118" s="9">
        <v>21.45</v>
      </c>
      <c r="I118" s="9">
        <v>17.190000000000001</v>
      </c>
      <c r="J118" s="9" t="s">
        <v>1315</v>
      </c>
      <c r="K118" s="1" t="s">
        <v>1712</v>
      </c>
      <c r="L118" s="2" t="s">
        <v>44</v>
      </c>
      <c r="M118" s="2" t="s">
        <v>2003</v>
      </c>
      <c r="N118" s="1">
        <v>1</v>
      </c>
      <c r="O118" s="1">
        <v>5</v>
      </c>
      <c r="P118" s="1" t="s">
        <v>51</v>
      </c>
      <c r="Q118" s="10" t="s">
        <v>677</v>
      </c>
      <c r="R118" t="s">
        <v>2192</v>
      </c>
      <c r="S118" t="s">
        <v>2193</v>
      </c>
      <c r="T118">
        <v>89035730510</v>
      </c>
      <c r="U118" t="s">
        <v>2181</v>
      </c>
      <c r="V118" t="s">
        <v>2194</v>
      </c>
      <c r="W118">
        <v>9949331172</v>
      </c>
      <c r="X118" t="s">
        <v>2183</v>
      </c>
      <c r="Y118" t="s">
        <v>2118</v>
      </c>
      <c r="Z118" t="s">
        <v>2184</v>
      </c>
      <c r="AA118">
        <v>8</v>
      </c>
      <c r="AB118" s="6" t="s">
        <v>1314</v>
      </c>
      <c r="AC118" s="2" t="s">
        <v>678</v>
      </c>
      <c r="AF118" s="14" t="s">
        <v>732</v>
      </c>
      <c r="AG118" s="5" t="s">
        <v>28</v>
      </c>
      <c r="AH118" s="5">
        <v>100</v>
      </c>
      <c r="AI118" s="6">
        <v>2</v>
      </c>
      <c r="AJ118" s="13" t="s">
        <v>1328</v>
      </c>
      <c r="AK118" s="58">
        <v>0.54166666666666696</v>
      </c>
      <c r="AL118" s="58" t="str">
        <f t="shared" si="9"/>
        <v>09:00 - 13:00</v>
      </c>
      <c r="AM118" s="151"/>
      <c r="AN118" s="95">
        <f t="shared" si="15"/>
        <v>300000</v>
      </c>
      <c r="AO118" s="94" t="b">
        <v>1</v>
      </c>
      <c r="AP118" s="34">
        <f t="shared" si="10"/>
        <v>772.8</v>
      </c>
      <c r="AQ118" s="23">
        <f t="shared" si="11"/>
        <v>2</v>
      </c>
      <c r="AR118" s="35" t="s">
        <v>48</v>
      </c>
      <c r="AW118" s="63" t="str">
        <f t="shared" si="12"/>
        <v>11:19:43</v>
      </c>
      <c r="AX118" s="152"/>
      <c r="AY118" s="160">
        <v>1</v>
      </c>
      <c r="AZ118" s="10"/>
      <c r="BA118" s="104" t="str">
        <f t="shared" si="13"/>
        <v>СПАРТАКОВСКАЯ-6</v>
      </c>
      <c r="BB118" s="85">
        <f>AP118*3+10*60</f>
        <v>2918.3999999999996</v>
      </c>
      <c r="BD118" s="123"/>
      <c r="BE118" s="117" t="s">
        <v>1315</v>
      </c>
      <c r="BF118" s="89" t="s">
        <v>1315</v>
      </c>
      <c r="BG118" s="89">
        <v>-24.236666666666668</v>
      </c>
      <c r="BH118" s="89">
        <v>-11.076666666666672</v>
      </c>
      <c r="BI118" s="89" t="s">
        <v>1315</v>
      </c>
      <c r="BJ118" s="89">
        <v>-2.8900000000000006</v>
      </c>
      <c r="BK118" s="89" t="s">
        <v>1315</v>
      </c>
      <c r="BL118" s="11" t="s">
        <v>676</v>
      </c>
    </row>
    <row r="119" spans="1:65" ht="15" customHeight="1" x14ac:dyDescent="0.3">
      <c r="C119" s="1">
        <v>380</v>
      </c>
      <c r="D119" s="6">
        <v>7044</v>
      </c>
      <c r="E119" s="6">
        <v>4044</v>
      </c>
      <c r="F119" s="1" t="s">
        <v>1547</v>
      </c>
      <c r="G119" s="8" t="s">
        <v>50</v>
      </c>
      <c r="H119" s="9">
        <v>17.340000000000003</v>
      </c>
      <c r="I119" s="9">
        <v>3.76</v>
      </c>
      <c r="J119" s="9" t="s">
        <v>1315</v>
      </c>
      <c r="K119" s="1" t="s">
        <v>1712</v>
      </c>
      <c r="M119" s="2" t="s">
        <v>1922</v>
      </c>
      <c r="N119" s="1">
        <v>1</v>
      </c>
      <c r="O119" s="1">
        <v>6</v>
      </c>
      <c r="P119" s="1" t="s">
        <v>51</v>
      </c>
      <c r="Q119" s="10" t="s">
        <v>1187</v>
      </c>
      <c r="R119" t="s">
        <v>2192</v>
      </c>
      <c r="S119" t="s">
        <v>2193</v>
      </c>
      <c r="T119">
        <v>89035730510</v>
      </c>
      <c r="U119" t="s">
        <v>2181</v>
      </c>
      <c r="V119" t="s">
        <v>2194</v>
      </c>
      <c r="W119">
        <v>9949331172</v>
      </c>
      <c r="X119" t="s">
        <v>2183</v>
      </c>
      <c r="Y119" t="s">
        <v>2118</v>
      </c>
      <c r="Z119" t="s">
        <v>2184</v>
      </c>
      <c r="AA119">
        <v>8</v>
      </c>
      <c r="AB119" s="6" t="s">
        <v>912</v>
      </c>
      <c r="AC119" s="10" t="s">
        <v>728</v>
      </c>
      <c r="AF119" s="18" t="s">
        <v>732</v>
      </c>
      <c r="AH119" s="27"/>
      <c r="AI119" s="6">
        <v>2</v>
      </c>
      <c r="AJ119" s="114" t="str">
        <f ca="1">IF((WEEKDAY(TODAY(),2))=6,"10:00","09:30")</f>
        <v>09:30</v>
      </c>
      <c r="AK119" s="142" t="str">
        <f>IF(AP119&gt;2000,"15:00",IF(AP119&lt;1000,"16:30","16:00"))</f>
        <v>16:30</v>
      </c>
      <c r="AL119" s="58" t="str">
        <f t="shared" ca="1" si="9"/>
        <v>09:30 - 16:30</v>
      </c>
      <c r="AM119" s="151">
        <v>3</v>
      </c>
      <c r="AN119" s="95">
        <f t="shared" si="15"/>
        <v>300000</v>
      </c>
      <c r="AO119" s="94" t="b">
        <v>1</v>
      </c>
      <c r="AP119" s="34">
        <f t="shared" si="10"/>
        <v>422.00000000000006</v>
      </c>
      <c r="AQ119" s="23">
        <f t="shared" si="11"/>
        <v>1</v>
      </c>
      <c r="AR119" s="35" t="s">
        <v>48</v>
      </c>
      <c r="AW119" s="63" t="str">
        <f t="shared" ca="1" si="12"/>
        <v>12:31:19</v>
      </c>
      <c r="AX119" s="152"/>
      <c r="AY119" s="160">
        <v>2</v>
      </c>
      <c r="AZ119" s="10"/>
      <c r="BA119" s="104" t="str">
        <f t="shared" si="13"/>
        <v>М-РОКОССОВСКОГО-Б-Р-39К1</v>
      </c>
      <c r="BB119" s="87">
        <f>AP119*3.5+10*60</f>
        <v>2077</v>
      </c>
      <c r="BD119" s="123"/>
      <c r="BE119" s="117" t="s">
        <v>1315</v>
      </c>
      <c r="BF119" s="89">
        <v>-8.3199999999999861</v>
      </c>
      <c r="BG119" s="89" t="s">
        <v>1315</v>
      </c>
      <c r="BH119" s="89" t="s">
        <v>1315</v>
      </c>
      <c r="BI119" s="89" t="s">
        <v>1315</v>
      </c>
      <c r="BJ119" s="89" t="s">
        <v>1315</v>
      </c>
      <c r="BK119" s="89" t="s">
        <v>1315</v>
      </c>
      <c r="BL119" s="1" t="s">
        <v>727</v>
      </c>
    </row>
    <row r="120" spans="1:65" s="69" customFormat="1" ht="15" customHeight="1" x14ac:dyDescent="0.3">
      <c r="A120" s="1"/>
      <c r="B120" s="1"/>
      <c r="C120" s="1">
        <v>612</v>
      </c>
      <c r="D120" s="6">
        <v>766</v>
      </c>
      <c r="E120" s="6">
        <v>4766</v>
      </c>
      <c r="F120" s="1" t="s">
        <v>1642</v>
      </c>
      <c r="G120" s="8" t="s">
        <v>50</v>
      </c>
      <c r="H120" s="9">
        <v>13.96</v>
      </c>
      <c r="I120" s="9">
        <v>7.97</v>
      </c>
      <c r="J120" s="9" t="s">
        <v>1787</v>
      </c>
      <c r="K120" s="1" t="s">
        <v>1737</v>
      </c>
      <c r="L120" s="2" t="s">
        <v>44</v>
      </c>
      <c r="M120" s="2" t="s">
        <v>1327</v>
      </c>
      <c r="N120" s="1">
        <v>1</v>
      </c>
      <c r="O120" s="1">
        <v>1</v>
      </c>
      <c r="P120" s="1" t="s">
        <v>51</v>
      </c>
      <c r="Q120" s="1" t="s">
        <v>700</v>
      </c>
      <c r="R120" t="s">
        <v>2195</v>
      </c>
      <c r="S120" t="s">
        <v>2196</v>
      </c>
      <c r="T120">
        <v>89776000592</v>
      </c>
      <c r="U120" t="s">
        <v>2181</v>
      </c>
      <c r="V120" t="s">
        <v>2197</v>
      </c>
      <c r="W120">
        <v>9949331276</v>
      </c>
      <c r="X120" t="s">
        <v>2183</v>
      </c>
      <c r="Y120" t="s">
        <v>2118</v>
      </c>
      <c r="Z120" t="s">
        <v>2184</v>
      </c>
      <c r="AA120">
        <v>8</v>
      </c>
      <c r="AB120" s="6" t="s">
        <v>1693</v>
      </c>
      <c r="AC120" s="2" t="s">
        <v>701</v>
      </c>
      <c r="AD120" s="48"/>
      <c r="AE120" s="48"/>
      <c r="AF120" s="14" t="s">
        <v>732</v>
      </c>
      <c r="AG120" s="5" t="s">
        <v>28</v>
      </c>
      <c r="AH120" s="5">
        <v>100</v>
      </c>
      <c r="AI120" s="6">
        <v>2</v>
      </c>
      <c r="AJ120" s="13" t="s">
        <v>1327</v>
      </c>
      <c r="AK120" s="58">
        <v>0.41666666666666702</v>
      </c>
      <c r="AL120" s="58" t="str">
        <f t="shared" si="9"/>
        <v>08:30 - 10:00</v>
      </c>
      <c r="AM120" s="151"/>
      <c r="AN120" s="95">
        <f t="shared" si="15"/>
        <v>300000</v>
      </c>
      <c r="AO120" s="94" t="b">
        <v>1</v>
      </c>
      <c r="AP120" s="34">
        <f t="shared" si="10"/>
        <v>438.6</v>
      </c>
      <c r="AQ120" s="23">
        <f t="shared" si="11"/>
        <v>1</v>
      </c>
      <c r="AR120" s="35" t="s">
        <v>48</v>
      </c>
      <c r="AS120" s="1"/>
      <c r="AT120" s="1"/>
      <c r="AU120" s="44"/>
      <c r="AV120" s="1"/>
      <c r="AW120" s="63" t="str">
        <f t="shared" si="12"/>
        <v>08:30</v>
      </c>
      <c r="AX120" s="152"/>
      <c r="AY120" s="160">
        <v>1</v>
      </c>
      <c r="AZ120" s="10"/>
      <c r="BA120" s="104" t="str">
        <f t="shared" si="13"/>
        <v>КЛИМЕНТОВСКИЙ-ПЕР-2</v>
      </c>
      <c r="BB120" s="86">
        <f>AP120*4.5+10*60</f>
        <v>2573.6999999999998</v>
      </c>
      <c r="BC120" s="110"/>
      <c r="BD120" s="123"/>
      <c r="BE120" s="117" t="s">
        <v>1315</v>
      </c>
      <c r="BF120" s="89">
        <v>-30.794999999999987</v>
      </c>
      <c r="BG120" s="89" t="s">
        <v>1315</v>
      </c>
      <c r="BH120" s="89" t="s">
        <v>1315</v>
      </c>
      <c r="BI120" s="89" t="s">
        <v>1315</v>
      </c>
      <c r="BJ120" s="89" t="s">
        <v>1315</v>
      </c>
      <c r="BK120" s="89" t="s">
        <v>1315</v>
      </c>
      <c r="BL120" s="1" t="s">
        <v>699</v>
      </c>
      <c r="BM120" s="1"/>
    </row>
    <row r="121" spans="1:65" ht="15" customHeight="1" x14ac:dyDescent="0.3">
      <c r="C121" s="1">
        <v>607</v>
      </c>
      <c r="D121" s="6">
        <v>29</v>
      </c>
      <c r="E121" s="6">
        <v>7029</v>
      </c>
      <c r="F121" s="1" t="s">
        <v>1638</v>
      </c>
      <c r="G121" s="8" t="s">
        <v>50</v>
      </c>
      <c r="H121" s="9">
        <v>51.35</v>
      </c>
      <c r="I121" s="9">
        <v>13.06</v>
      </c>
      <c r="J121" s="9" t="s">
        <v>1315</v>
      </c>
      <c r="K121" s="1" t="s">
        <v>1737</v>
      </c>
      <c r="L121" s="2" t="s">
        <v>44</v>
      </c>
      <c r="M121" s="2" t="s">
        <v>1987</v>
      </c>
      <c r="N121" s="1">
        <v>1</v>
      </c>
      <c r="O121" s="1">
        <v>2</v>
      </c>
      <c r="P121" s="1" t="s">
        <v>51</v>
      </c>
      <c r="Q121" s="10" t="s">
        <v>1639</v>
      </c>
      <c r="R121" t="s">
        <v>2195</v>
      </c>
      <c r="S121" t="s">
        <v>2196</v>
      </c>
      <c r="T121">
        <v>89776000592</v>
      </c>
      <c r="U121" t="s">
        <v>2181</v>
      </c>
      <c r="V121" t="s">
        <v>2197</v>
      </c>
      <c r="W121">
        <v>9949331276</v>
      </c>
      <c r="X121" t="s">
        <v>2183</v>
      </c>
      <c r="Y121" t="s">
        <v>2118</v>
      </c>
      <c r="Z121" t="s">
        <v>2184</v>
      </c>
      <c r="AA121">
        <v>8</v>
      </c>
      <c r="AB121" s="6" t="s">
        <v>1358</v>
      </c>
      <c r="AC121" s="2" t="s">
        <v>690</v>
      </c>
      <c r="AF121" s="14" t="s">
        <v>732</v>
      </c>
      <c r="AG121" s="5" t="s">
        <v>28</v>
      </c>
      <c r="AH121" s="5">
        <v>100</v>
      </c>
      <c r="AI121" s="6">
        <v>2</v>
      </c>
      <c r="AJ121" s="13" t="s">
        <v>1328</v>
      </c>
      <c r="AK121" s="58">
        <v>0.5</v>
      </c>
      <c r="AL121" s="58" t="str">
        <f t="shared" si="9"/>
        <v>09:00 - 12:00</v>
      </c>
      <c r="AM121" s="151"/>
      <c r="AN121" s="95">
        <f t="shared" si="15"/>
        <v>412224</v>
      </c>
      <c r="AO121" s="94" t="b">
        <v>1</v>
      </c>
      <c r="AP121" s="34">
        <f t="shared" si="10"/>
        <v>1288.2</v>
      </c>
      <c r="AQ121" s="23">
        <f t="shared" si="11"/>
        <v>3</v>
      </c>
      <c r="AR121" s="35" t="s">
        <v>48</v>
      </c>
      <c r="AW121" s="63" t="str">
        <f t="shared" si="12"/>
        <v>09:16:06</v>
      </c>
      <c r="AX121" s="152"/>
      <c r="AY121" s="160">
        <v>1</v>
      </c>
      <c r="AZ121" s="10"/>
      <c r="BA121" s="104" t="str">
        <f t="shared" si="13"/>
        <v>1-НОВОКУЗНЕЦКИЙ-ПЕР-5/7</v>
      </c>
      <c r="BB121" s="70">
        <f>AP121*4.1+10*60</f>
        <v>5881.62</v>
      </c>
      <c r="BD121" s="123"/>
      <c r="BE121" s="117" t="s">
        <v>1315</v>
      </c>
      <c r="BF121" s="89" t="s">
        <v>1315</v>
      </c>
      <c r="BG121" s="89" t="s">
        <v>1315</v>
      </c>
      <c r="BH121" s="89" t="s">
        <v>1315</v>
      </c>
      <c r="BI121" s="89" t="s">
        <v>1315</v>
      </c>
      <c r="BJ121" s="89">
        <v>-43.0863333333333</v>
      </c>
      <c r="BK121" s="89" t="s">
        <v>1315</v>
      </c>
      <c r="BL121" s="1" t="s">
        <v>689</v>
      </c>
    </row>
    <row r="122" spans="1:65" ht="15" customHeight="1" x14ac:dyDescent="0.3">
      <c r="C122" s="1">
        <v>597</v>
      </c>
      <c r="D122" s="6">
        <v>755</v>
      </c>
      <c r="E122" s="6">
        <v>4755</v>
      </c>
      <c r="F122" s="1" t="s">
        <v>1633</v>
      </c>
      <c r="G122" s="8" t="s">
        <v>50</v>
      </c>
      <c r="H122" s="9">
        <v>18.89</v>
      </c>
      <c r="I122" s="9">
        <v>9.06</v>
      </c>
      <c r="J122" s="9" t="s">
        <v>1315</v>
      </c>
      <c r="K122" s="1" t="s">
        <v>1737</v>
      </c>
      <c r="L122" s="2" t="s">
        <v>44</v>
      </c>
      <c r="M122" s="2" t="s">
        <v>2044</v>
      </c>
      <c r="N122" s="1">
        <v>1</v>
      </c>
      <c r="O122" s="1">
        <v>3</v>
      </c>
      <c r="P122" s="1" t="s">
        <v>51</v>
      </c>
      <c r="Q122" s="1" t="s">
        <v>682</v>
      </c>
      <c r="R122" t="s">
        <v>2195</v>
      </c>
      <c r="S122" t="s">
        <v>2196</v>
      </c>
      <c r="T122">
        <v>89776000592</v>
      </c>
      <c r="U122" t="s">
        <v>2181</v>
      </c>
      <c r="V122" t="s">
        <v>2197</v>
      </c>
      <c r="W122">
        <v>9949331276</v>
      </c>
      <c r="X122" t="s">
        <v>2183</v>
      </c>
      <c r="Y122" t="s">
        <v>2118</v>
      </c>
      <c r="Z122" t="s">
        <v>2184</v>
      </c>
      <c r="AA122">
        <v>8</v>
      </c>
      <c r="AB122" s="6" t="s">
        <v>1323</v>
      </c>
      <c r="AC122" s="2" t="s">
        <v>683</v>
      </c>
      <c r="AF122" s="14" t="s">
        <v>732</v>
      </c>
      <c r="AG122" s="5" t="s">
        <v>28</v>
      </c>
      <c r="AH122" s="5">
        <v>100</v>
      </c>
      <c r="AI122" s="6">
        <v>2</v>
      </c>
      <c r="AJ122" s="13" t="s">
        <v>1328</v>
      </c>
      <c r="AK122" s="58">
        <v>0.54166666666666696</v>
      </c>
      <c r="AL122" s="58" t="str">
        <f t="shared" si="9"/>
        <v>09:00 - 13:00</v>
      </c>
      <c r="AM122" s="151"/>
      <c r="AN122" s="95">
        <f t="shared" si="15"/>
        <v>300000</v>
      </c>
      <c r="AO122" s="94" t="b">
        <v>1</v>
      </c>
      <c r="AP122" s="34">
        <f t="shared" si="10"/>
        <v>559</v>
      </c>
      <c r="AQ122" s="23">
        <f t="shared" si="11"/>
        <v>2</v>
      </c>
      <c r="AR122" s="35" t="s">
        <v>48</v>
      </c>
      <c r="AW122" s="63" t="str">
        <f t="shared" si="12"/>
        <v>11:05:16</v>
      </c>
      <c r="AX122" s="152"/>
      <c r="AY122" s="160">
        <v>1</v>
      </c>
      <c r="AZ122" s="10"/>
      <c r="BA122" s="104" t="str">
        <f t="shared" si="13"/>
        <v>КОТЕЛЬНИЧЕСКАЯ-НАБ-1/15</v>
      </c>
      <c r="BB122" s="70">
        <f>AP122*4.1+10*60</f>
        <v>2891.8999999999996</v>
      </c>
      <c r="BD122" s="123"/>
      <c r="BE122" s="117" t="s">
        <v>1315</v>
      </c>
      <c r="BF122" s="89" t="s">
        <v>1315</v>
      </c>
      <c r="BG122" s="89" t="s">
        <v>1315</v>
      </c>
      <c r="BH122" s="89" t="s">
        <v>1315</v>
      </c>
      <c r="BI122" s="89" t="s">
        <v>1315</v>
      </c>
      <c r="BJ122" s="89" t="s">
        <v>1315</v>
      </c>
      <c r="BK122" s="89" t="s">
        <v>1315</v>
      </c>
      <c r="BL122" s="1" t="s">
        <v>681</v>
      </c>
    </row>
    <row r="123" spans="1:65" ht="15" customHeight="1" x14ac:dyDescent="0.3">
      <c r="C123" s="1">
        <v>598</v>
      </c>
      <c r="D123" s="6">
        <v>657</v>
      </c>
      <c r="E123" s="6">
        <v>7657</v>
      </c>
      <c r="F123" s="1" t="s">
        <v>1634</v>
      </c>
      <c r="G123" s="8" t="s">
        <v>50</v>
      </c>
      <c r="H123" s="9">
        <v>23.549999999999997</v>
      </c>
      <c r="I123" s="9">
        <v>11.37</v>
      </c>
      <c r="J123" s="9" t="s">
        <v>1315</v>
      </c>
      <c r="K123" s="1" t="s">
        <v>1737</v>
      </c>
      <c r="L123" s="2" t="s">
        <v>44</v>
      </c>
      <c r="M123" s="2" t="s">
        <v>1934</v>
      </c>
      <c r="N123" s="1">
        <v>1</v>
      </c>
      <c r="O123" s="1">
        <v>4</v>
      </c>
      <c r="P123" s="1" t="s">
        <v>51</v>
      </c>
      <c r="Q123" s="10" t="s">
        <v>172</v>
      </c>
      <c r="R123" t="s">
        <v>2195</v>
      </c>
      <c r="S123" t="s">
        <v>2196</v>
      </c>
      <c r="T123">
        <v>89776000592</v>
      </c>
      <c r="U123" t="s">
        <v>2181</v>
      </c>
      <c r="V123" t="s">
        <v>2197</v>
      </c>
      <c r="W123">
        <v>9949331276</v>
      </c>
      <c r="X123" t="s">
        <v>2183</v>
      </c>
      <c r="Y123" t="s">
        <v>2118</v>
      </c>
      <c r="Z123" t="s">
        <v>2184</v>
      </c>
      <c r="AA123">
        <v>8</v>
      </c>
      <c r="AB123" s="6" t="s">
        <v>1324</v>
      </c>
      <c r="AC123" s="2" t="s">
        <v>173</v>
      </c>
      <c r="AF123" s="14" t="s">
        <v>732</v>
      </c>
      <c r="AG123" s="5" t="s">
        <v>28</v>
      </c>
      <c r="AH123" s="5">
        <v>100</v>
      </c>
      <c r="AI123" s="6">
        <v>2</v>
      </c>
      <c r="AJ123" s="13" t="s">
        <v>1329</v>
      </c>
      <c r="AK123" s="58">
        <v>0.54166666666666696</v>
      </c>
      <c r="AL123" s="58" t="str">
        <f t="shared" si="9"/>
        <v>09:30 - 13:00</v>
      </c>
      <c r="AM123" s="151"/>
      <c r="AN123" s="95">
        <f t="shared" si="15"/>
        <v>300000</v>
      </c>
      <c r="AO123" s="94" t="b">
        <v>1</v>
      </c>
      <c r="AP123" s="34">
        <f t="shared" si="10"/>
        <v>698.39999999999986</v>
      </c>
      <c r="AQ123" s="23">
        <f t="shared" si="11"/>
        <v>2</v>
      </c>
      <c r="AR123" s="35" t="s">
        <v>48</v>
      </c>
      <c r="AW123" s="63" t="str">
        <f t="shared" si="12"/>
        <v>12:00:00</v>
      </c>
      <c r="AX123" s="152"/>
      <c r="AY123" s="160">
        <v>1</v>
      </c>
      <c r="AZ123" s="10"/>
      <c r="BA123" s="104" t="str">
        <f t="shared" si="13"/>
        <v>ГОНЧАРНЫЙ-ПР-Д-8/40</v>
      </c>
      <c r="BB123" s="88">
        <f>AP123*4.1+10*60</f>
        <v>3463.4399999999991</v>
      </c>
      <c r="BD123" s="123"/>
      <c r="BE123" s="117" t="s">
        <v>1315</v>
      </c>
      <c r="BF123" s="89" t="s">
        <v>1315</v>
      </c>
      <c r="BG123" s="89" t="s">
        <v>1315</v>
      </c>
      <c r="BH123" s="89" t="s">
        <v>1315</v>
      </c>
      <c r="BI123" s="89" t="s">
        <v>1315</v>
      </c>
      <c r="BJ123" s="89">
        <v>-15.560333333333332</v>
      </c>
      <c r="BK123" s="89" t="s">
        <v>1315</v>
      </c>
      <c r="BL123" s="1" t="s">
        <v>171</v>
      </c>
    </row>
    <row r="124" spans="1:65" ht="15" customHeight="1" x14ac:dyDescent="0.3">
      <c r="C124" s="1">
        <v>573</v>
      </c>
      <c r="D124" s="6">
        <v>602</v>
      </c>
      <c r="E124" s="6">
        <v>7602</v>
      </c>
      <c r="F124" s="65" t="s">
        <v>1617</v>
      </c>
      <c r="G124" s="8" t="s">
        <v>50</v>
      </c>
      <c r="H124" s="9">
        <v>71.319999999999993</v>
      </c>
      <c r="I124" s="9">
        <v>39.380000000000003</v>
      </c>
      <c r="J124" s="9" t="s">
        <v>1792</v>
      </c>
      <c r="K124" s="1" t="s">
        <v>1745</v>
      </c>
      <c r="L124" s="2">
        <v>2</v>
      </c>
      <c r="M124" s="2" t="s">
        <v>1947</v>
      </c>
      <c r="N124" s="1">
        <v>1</v>
      </c>
      <c r="O124" s="1">
        <v>1</v>
      </c>
      <c r="P124" s="1" t="s">
        <v>51</v>
      </c>
      <c r="Q124" s="10" t="s">
        <v>639</v>
      </c>
      <c r="R124" t="s">
        <v>2198</v>
      </c>
      <c r="S124" t="s">
        <v>2199</v>
      </c>
      <c r="T124">
        <v>89660442303</v>
      </c>
      <c r="U124" t="s">
        <v>2181</v>
      </c>
      <c r="V124" t="s">
        <v>2200</v>
      </c>
      <c r="W124">
        <v>9955447869</v>
      </c>
      <c r="X124" t="s">
        <v>2183</v>
      </c>
      <c r="Y124" t="s">
        <v>2118</v>
      </c>
      <c r="Z124" t="s">
        <v>2184</v>
      </c>
      <c r="AA124">
        <v>8</v>
      </c>
      <c r="AB124" s="6" t="s">
        <v>1254</v>
      </c>
      <c r="AC124" s="2" t="s">
        <v>640</v>
      </c>
      <c r="AF124" s="14" t="s">
        <v>1685</v>
      </c>
      <c r="AG124" s="5" t="s">
        <v>28</v>
      </c>
      <c r="AH124" s="5">
        <v>100</v>
      </c>
      <c r="AI124" s="6">
        <v>1</v>
      </c>
      <c r="AJ124" s="13" t="s">
        <v>1327</v>
      </c>
      <c r="AK124" s="58">
        <v>0.375</v>
      </c>
      <c r="AL124" s="58" t="str">
        <f t="shared" si="9"/>
        <v>08:30 - 09:00</v>
      </c>
      <c r="AM124" s="151"/>
      <c r="AN124" s="97">
        <v>100000000</v>
      </c>
      <c r="AO124" s="94" t="b">
        <v>1</v>
      </c>
      <c r="AP124" s="34">
        <f t="shared" si="10"/>
        <v>2214</v>
      </c>
      <c r="AQ124" s="23">
        <f t="shared" si="11"/>
        <v>4</v>
      </c>
      <c r="AR124" s="35" t="s">
        <v>48</v>
      </c>
      <c r="AW124" s="63" t="str">
        <f t="shared" si="12"/>
        <v>08:32:18</v>
      </c>
      <c r="AX124" s="152"/>
      <c r="AY124" s="160">
        <v>1</v>
      </c>
      <c r="AZ124" s="10"/>
      <c r="BA124" s="104" t="str">
        <f t="shared" si="13"/>
        <v>ГОГОЛЕВСКИЙ-Б-Р-33/1</v>
      </c>
      <c r="BB124" s="85">
        <f>AP124*3.8+10*60</f>
        <v>9013.1999999999989</v>
      </c>
      <c r="BD124" s="123"/>
      <c r="BE124" s="117" t="s">
        <v>1315</v>
      </c>
      <c r="BF124" s="89" t="s">
        <v>1315</v>
      </c>
      <c r="BG124" s="89" t="s">
        <v>1315</v>
      </c>
      <c r="BH124" s="89" t="s">
        <v>1315</v>
      </c>
      <c r="BI124" s="89" t="s">
        <v>1315</v>
      </c>
      <c r="BJ124" s="89" t="s">
        <v>1315</v>
      </c>
      <c r="BK124" s="89" t="s">
        <v>1315</v>
      </c>
      <c r="BL124" s="65" t="s">
        <v>638</v>
      </c>
    </row>
    <row r="125" spans="1:65" ht="15" customHeight="1" x14ac:dyDescent="0.3">
      <c r="C125" s="1">
        <v>575</v>
      </c>
      <c r="D125" s="6">
        <v>7089</v>
      </c>
      <c r="E125" s="6">
        <v>4089</v>
      </c>
      <c r="F125" s="11" t="s">
        <v>1618</v>
      </c>
      <c r="G125" s="8" t="s">
        <v>50</v>
      </c>
      <c r="H125" s="9">
        <v>25.23</v>
      </c>
      <c r="I125" s="9">
        <v>12.52</v>
      </c>
      <c r="J125" s="9" t="s">
        <v>1315</v>
      </c>
      <c r="K125" s="1" t="s">
        <v>1745</v>
      </c>
      <c r="M125" s="2" t="s">
        <v>1948</v>
      </c>
      <c r="N125" s="1">
        <v>1</v>
      </c>
      <c r="O125" s="1">
        <v>2</v>
      </c>
      <c r="P125" s="1" t="s">
        <v>51</v>
      </c>
      <c r="Q125" s="1" t="s">
        <v>1205</v>
      </c>
      <c r="R125" t="s">
        <v>2198</v>
      </c>
      <c r="S125" t="s">
        <v>2199</v>
      </c>
      <c r="T125">
        <v>89660442303</v>
      </c>
      <c r="U125" t="s">
        <v>2181</v>
      </c>
      <c r="V125" t="s">
        <v>2200</v>
      </c>
      <c r="W125">
        <v>9955447869</v>
      </c>
      <c r="X125" t="s">
        <v>2183</v>
      </c>
      <c r="Y125" t="s">
        <v>2118</v>
      </c>
      <c r="Z125" t="s">
        <v>2184</v>
      </c>
      <c r="AA125">
        <v>8</v>
      </c>
      <c r="AB125" s="6" t="s">
        <v>1258</v>
      </c>
      <c r="AC125" s="1" t="s">
        <v>988</v>
      </c>
      <c r="AF125" s="14" t="s">
        <v>732</v>
      </c>
      <c r="AG125" s="5" t="s">
        <v>28</v>
      </c>
      <c r="AH125" s="5">
        <v>100</v>
      </c>
      <c r="AI125" s="6">
        <v>2</v>
      </c>
      <c r="AJ125" s="13" t="s">
        <v>1329</v>
      </c>
      <c r="AK125" s="58">
        <v>0.5</v>
      </c>
      <c r="AL125" s="58" t="str">
        <f t="shared" si="9"/>
        <v>09:30 - 12:00</v>
      </c>
      <c r="AM125" s="151"/>
      <c r="AN125" s="95">
        <f t="shared" ref="AN125:AN156" si="16">IF(AP125&gt;1000,(AP125*320),300000)</f>
        <v>300000</v>
      </c>
      <c r="AO125" s="94" t="b">
        <v>1</v>
      </c>
      <c r="AP125" s="34">
        <f t="shared" si="10"/>
        <v>755</v>
      </c>
      <c r="AQ125" s="23">
        <f t="shared" si="11"/>
        <v>2</v>
      </c>
      <c r="AR125" s="35" t="s">
        <v>48</v>
      </c>
      <c r="AW125" s="63" t="str">
        <f t="shared" si="12"/>
        <v>11:07:43</v>
      </c>
      <c r="AX125" s="152"/>
      <c r="AY125" s="160">
        <v>2</v>
      </c>
      <c r="AZ125" s="10"/>
      <c r="BA125" s="104" t="str">
        <f t="shared" si="13"/>
        <v>ПРЕЧИСТЕНКА-16</v>
      </c>
      <c r="BB125" s="70">
        <f>AP125*4.1+10*60</f>
        <v>3695.4999999999995</v>
      </c>
      <c r="BD125" s="123"/>
      <c r="BE125" s="117" t="s">
        <v>1315</v>
      </c>
      <c r="BF125" s="89" t="s">
        <v>1315</v>
      </c>
      <c r="BG125" s="89" t="s">
        <v>1315</v>
      </c>
      <c r="BH125" s="89" t="s">
        <v>1315</v>
      </c>
      <c r="BI125" s="89" t="s">
        <v>1315</v>
      </c>
      <c r="BJ125" s="89" t="s">
        <v>1315</v>
      </c>
      <c r="BK125" s="89" t="s">
        <v>1315</v>
      </c>
      <c r="BL125" s="11" t="s">
        <v>1087</v>
      </c>
    </row>
    <row r="126" spans="1:65" ht="15" customHeight="1" x14ac:dyDescent="0.3">
      <c r="C126" s="1">
        <v>507</v>
      </c>
      <c r="D126" s="6">
        <v>7083</v>
      </c>
      <c r="E126" s="6">
        <v>4083</v>
      </c>
      <c r="F126" s="36" t="s">
        <v>1415</v>
      </c>
      <c r="G126" s="8" t="s">
        <v>50</v>
      </c>
      <c r="H126" s="9">
        <v>36.83</v>
      </c>
      <c r="I126" s="9">
        <v>9.5299999999999994</v>
      </c>
      <c r="J126" s="9" t="s">
        <v>1805</v>
      </c>
      <c r="K126" s="1" t="s">
        <v>1746</v>
      </c>
      <c r="M126" s="2" t="s">
        <v>1976</v>
      </c>
      <c r="N126" s="1">
        <v>2</v>
      </c>
      <c r="O126" s="1">
        <v>1</v>
      </c>
      <c r="P126" s="1" t="s">
        <v>51</v>
      </c>
      <c r="Q126" s="10" t="s">
        <v>984</v>
      </c>
      <c r="R126" t="s">
        <v>2198</v>
      </c>
      <c r="S126" t="s">
        <v>2199</v>
      </c>
      <c r="T126">
        <v>89660442303</v>
      </c>
      <c r="U126" t="s">
        <v>2181</v>
      </c>
      <c r="V126" t="s">
        <v>2200</v>
      </c>
      <c r="W126">
        <v>9955447869</v>
      </c>
      <c r="X126" t="s">
        <v>2183</v>
      </c>
      <c r="Y126" t="s">
        <v>2118</v>
      </c>
      <c r="Z126" t="s">
        <v>2184</v>
      </c>
      <c r="AA126">
        <v>8</v>
      </c>
      <c r="AB126" s="6" t="s">
        <v>1088</v>
      </c>
      <c r="AC126" s="10" t="s">
        <v>985</v>
      </c>
      <c r="AF126" s="171" t="s">
        <v>732</v>
      </c>
      <c r="AI126" s="6">
        <v>2</v>
      </c>
      <c r="AJ126" s="13" t="s">
        <v>1329</v>
      </c>
      <c r="AK126" t="str">
        <f ca="1">IF((WEEKDAY(TODAY(),2))=4,"13:00","16:00")</f>
        <v>16:00</v>
      </c>
      <c r="AL126" s="58" t="str">
        <f t="shared" ca="1" si="9"/>
        <v>09:30 - 16:00</v>
      </c>
      <c r="AM126" s="151">
        <v>5</v>
      </c>
      <c r="AN126" s="95">
        <f t="shared" si="16"/>
        <v>300000</v>
      </c>
      <c r="AO126" s="94" t="b">
        <v>1</v>
      </c>
      <c r="AP126" s="34">
        <f t="shared" si="10"/>
        <v>927.19999999999993</v>
      </c>
      <c r="AQ126" s="23">
        <f t="shared" si="11"/>
        <v>2</v>
      </c>
      <c r="AR126" s="35" t="s">
        <v>48</v>
      </c>
      <c r="AW126" s="63" t="str">
        <f t="shared" si="12"/>
        <v>14:38:10</v>
      </c>
      <c r="AX126" s="152"/>
      <c r="AY126" s="160">
        <v>2</v>
      </c>
      <c r="AZ126" s="10"/>
      <c r="BA126" s="104" t="str">
        <f t="shared" si="13"/>
        <v>УДАЛЬЦОВА-85Б</v>
      </c>
      <c r="BB126" s="85">
        <f>AP126*3.2+10*60</f>
        <v>3567.04</v>
      </c>
      <c r="BD126" s="123"/>
      <c r="BE126" s="117" t="s">
        <v>1315</v>
      </c>
      <c r="BF126" s="89">
        <v>-13.566666666666656</v>
      </c>
      <c r="BG126" s="89">
        <v>11.169333333333327</v>
      </c>
      <c r="BH126" s="89">
        <v>-11.489333333333335</v>
      </c>
      <c r="BI126" s="89" t="s">
        <v>1315</v>
      </c>
      <c r="BJ126" s="89">
        <v>6.4373333333333207</v>
      </c>
      <c r="BK126" s="89" t="s">
        <v>1315</v>
      </c>
      <c r="BL126" s="36" t="s">
        <v>983</v>
      </c>
    </row>
    <row r="127" spans="1:65" ht="15" customHeight="1" x14ac:dyDescent="0.3">
      <c r="C127" s="1">
        <v>508</v>
      </c>
      <c r="D127" s="6">
        <v>7030</v>
      </c>
      <c r="E127" s="6">
        <v>4030</v>
      </c>
      <c r="F127" s="38" t="s">
        <v>1597</v>
      </c>
      <c r="G127" s="8" t="s">
        <v>50</v>
      </c>
      <c r="H127" s="9">
        <v>29.54</v>
      </c>
      <c r="I127" s="9">
        <v>16.29</v>
      </c>
      <c r="J127" s="9" t="s">
        <v>1315</v>
      </c>
      <c r="K127" s="1" t="s">
        <v>1746</v>
      </c>
      <c r="M127" s="2" t="s">
        <v>1950</v>
      </c>
      <c r="N127" s="1">
        <v>2</v>
      </c>
      <c r="O127" s="1">
        <v>2</v>
      </c>
      <c r="P127" s="1" t="s">
        <v>51</v>
      </c>
      <c r="Q127" s="10" t="s">
        <v>722</v>
      </c>
      <c r="R127" t="s">
        <v>2198</v>
      </c>
      <c r="S127" t="s">
        <v>2199</v>
      </c>
      <c r="T127">
        <v>89660442303</v>
      </c>
      <c r="U127" t="s">
        <v>2181</v>
      </c>
      <c r="V127" t="s">
        <v>2200</v>
      </c>
      <c r="W127">
        <v>9955447869</v>
      </c>
      <c r="X127" t="s">
        <v>2183</v>
      </c>
      <c r="Y127" t="s">
        <v>2118</v>
      </c>
      <c r="Z127" t="s">
        <v>2184</v>
      </c>
      <c r="AA127">
        <v>8</v>
      </c>
      <c r="AB127" s="6" t="s">
        <v>1092</v>
      </c>
      <c r="AC127" s="2" t="s">
        <v>723</v>
      </c>
      <c r="AF127" s="171" t="s">
        <v>732</v>
      </c>
      <c r="AI127" s="6">
        <v>2</v>
      </c>
      <c r="AJ127" s="13" t="s">
        <v>1328</v>
      </c>
      <c r="AK127" s="142" t="str">
        <f>IF(AP127&gt;2000,"15:00",IF(AP127&lt;1000,"16:30","16:00"))</f>
        <v>16:30</v>
      </c>
      <c r="AL127" s="58" t="str">
        <f t="shared" si="9"/>
        <v>09:00 - 16:30</v>
      </c>
      <c r="AM127" s="151">
        <v>5</v>
      </c>
      <c r="AN127" s="95">
        <f t="shared" si="16"/>
        <v>300000</v>
      </c>
      <c r="AO127" s="94" t="b">
        <v>1</v>
      </c>
      <c r="AP127" s="34">
        <f t="shared" si="10"/>
        <v>916.59999999999991</v>
      </c>
      <c r="AQ127" s="23">
        <f t="shared" si="11"/>
        <v>2</v>
      </c>
      <c r="AR127" s="35" t="s">
        <v>48</v>
      </c>
      <c r="AW127" s="63" t="str">
        <f t="shared" si="12"/>
        <v>15:51:13</v>
      </c>
      <c r="AX127" s="152"/>
      <c r="AY127" s="160">
        <v>2</v>
      </c>
      <c r="AZ127" s="10"/>
      <c r="BA127" s="104" t="str">
        <f t="shared" si="13"/>
        <v>ЛОБАЧЕВСКОГО-124К1</v>
      </c>
      <c r="BB127" s="85">
        <f>AP127*2.8+10*60</f>
        <v>3166.4799999999996</v>
      </c>
      <c r="BD127" s="123"/>
      <c r="BE127" s="117" t="s">
        <v>1315</v>
      </c>
      <c r="BF127" s="89" t="s">
        <v>1315</v>
      </c>
      <c r="BG127" s="89">
        <v>116.41599999999995</v>
      </c>
      <c r="BH127" s="89">
        <v>-10.960666666666661</v>
      </c>
      <c r="BI127" s="89" t="s">
        <v>1315</v>
      </c>
      <c r="BJ127" s="89">
        <v>0.86599999999999966</v>
      </c>
      <c r="BK127" s="89" t="s">
        <v>1315</v>
      </c>
      <c r="BL127" s="38" t="s">
        <v>1013</v>
      </c>
    </row>
    <row r="128" spans="1:65" ht="15" customHeight="1" x14ac:dyDescent="0.3">
      <c r="C128" s="1">
        <v>417</v>
      </c>
      <c r="D128" s="6">
        <v>25735</v>
      </c>
      <c r="E128" s="6">
        <v>4735</v>
      </c>
      <c r="F128" s="1" t="s">
        <v>1649</v>
      </c>
      <c r="G128" s="8" t="s">
        <v>43</v>
      </c>
      <c r="H128" s="9">
        <v>8.83</v>
      </c>
      <c r="I128" s="9">
        <v>3.34</v>
      </c>
      <c r="J128" s="9" t="s">
        <v>1836</v>
      </c>
      <c r="K128" s="1" t="s">
        <v>1754</v>
      </c>
      <c r="M128" s="2" t="s">
        <v>1329</v>
      </c>
      <c r="N128" s="1">
        <v>1</v>
      </c>
      <c r="O128" s="1">
        <v>1</v>
      </c>
      <c r="P128" s="1" t="s">
        <v>517</v>
      </c>
      <c r="Q128" s="10" t="s">
        <v>525</v>
      </c>
      <c r="R128" t="s">
        <v>2201</v>
      </c>
      <c r="S128" t="s">
        <v>2202</v>
      </c>
      <c r="T128">
        <v>89994104404</v>
      </c>
      <c r="U128" t="s">
        <v>2181</v>
      </c>
      <c r="V128" t="s">
        <v>2203</v>
      </c>
      <c r="W128">
        <v>9949330306</v>
      </c>
      <c r="X128" t="s">
        <v>2183</v>
      </c>
      <c r="Y128" t="s">
        <v>2118</v>
      </c>
      <c r="Z128" t="s">
        <v>2184</v>
      </c>
      <c r="AA128">
        <v>8</v>
      </c>
      <c r="AB128" s="6" t="s">
        <v>936</v>
      </c>
      <c r="AC128" s="2" t="s">
        <v>526</v>
      </c>
      <c r="AF128" s="167" t="s">
        <v>1672</v>
      </c>
      <c r="AI128" s="6">
        <v>2</v>
      </c>
      <c r="AJ128" s="114" t="str">
        <f ca="1">IF((WEEKDAY(TODAY(),2))=6,"10:00","09:30")</f>
        <v>09:30</v>
      </c>
      <c r="AK128" s="58">
        <v>0.54166666666666696</v>
      </c>
      <c r="AL128" s="58" t="str">
        <f t="shared" ca="1" si="9"/>
        <v>09:30 - 13:00</v>
      </c>
      <c r="AM128" s="151">
        <v>6</v>
      </c>
      <c r="AN128" s="95">
        <f t="shared" si="16"/>
        <v>300000</v>
      </c>
      <c r="AO128" s="94" t="b">
        <v>1</v>
      </c>
      <c r="AP128" s="34">
        <f t="shared" si="10"/>
        <v>243.39999999999998</v>
      </c>
      <c r="AQ128" s="23">
        <f t="shared" si="11"/>
        <v>1</v>
      </c>
      <c r="AR128" s="35" t="s">
        <v>48</v>
      </c>
      <c r="AW128" s="63" t="str">
        <f t="shared" ca="1" si="12"/>
        <v>09:30</v>
      </c>
      <c r="AX128" s="152"/>
      <c r="AY128" s="160">
        <v>1</v>
      </c>
      <c r="AZ128" s="10"/>
      <c r="BA128" s="104" t="str">
        <f t="shared" si="13"/>
        <v>ОДИНЦОВО-МАРШ-ЖУКОВА-34</v>
      </c>
      <c r="BB128" s="85">
        <f>AP128*4.1+10*60</f>
        <v>1597.9399999999998</v>
      </c>
      <c r="BD128" s="123"/>
      <c r="BE128" s="117" t="s">
        <v>1315</v>
      </c>
      <c r="BF128" s="89">
        <v>-29.01466666666667</v>
      </c>
      <c r="BG128" s="89" t="s">
        <v>1315</v>
      </c>
      <c r="BH128" s="89" t="s">
        <v>1315</v>
      </c>
      <c r="BI128" s="89">
        <v>-28.032333333333337</v>
      </c>
      <c r="BJ128" s="89" t="s">
        <v>1315</v>
      </c>
      <c r="BK128" s="89">
        <v>19.921000000000049</v>
      </c>
      <c r="BL128" s="1" t="s">
        <v>524</v>
      </c>
    </row>
    <row r="129" spans="1:65" s="125" customFormat="1" ht="15" customHeight="1" x14ac:dyDescent="0.3">
      <c r="A129" s="1"/>
      <c r="B129" s="1"/>
      <c r="C129" s="1">
        <v>425</v>
      </c>
      <c r="D129" s="6">
        <v>25868</v>
      </c>
      <c r="E129" s="6">
        <v>4868</v>
      </c>
      <c r="F129" s="10" t="s">
        <v>1574</v>
      </c>
      <c r="G129" s="8" t="s">
        <v>43</v>
      </c>
      <c r="H129" s="9">
        <v>48.04</v>
      </c>
      <c r="I129" s="9">
        <v>13.33</v>
      </c>
      <c r="J129" s="9" t="s">
        <v>1315</v>
      </c>
      <c r="K129" s="1" t="s">
        <v>1754</v>
      </c>
      <c r="L129" s="2">
        <v>2</v>
      </c>
      <c r="M129" s="2" t="s">
        <v>1961</v>
      </c>
      <c r="N129" s="1">
        <v>1</v>
      </c>
      <c r="O129" s="1">
        <v>2</v>
      </c>
      <c r="P129" s="1" t="s">
        <v>517</v>
      </c>
      <c r="Q129" s="10" t="s">
        <v>543</v>
      </c>
      <c r="R129" t="s">
        <v>2201</v>
      </c>
      <c r="S129" t="s">
        <v>2202</v>
      </c>
      <c r="T129">
        <v>89994104404</v>
      </c>
      <c r="U129" t="s">
        <v>2181</v>
      </c>
      <c r="V129" t="s">
        <v>2203</v>
      </c>
      <c r="W129">
        <v>9949330306</v>
      </c>
      <c r="X129" t="s">
        <v>2183</v>
      </c>
      <c r="Y129" t="s">
        <v>2118</v>
      </c>
      <c r="Z129" t="s">
        <v>2184</v>
      </c>
      <c r="AA129">
        <v>8</v>
      </c>
      <c r="AB129" s="6" t="s">
        <v>943</v>
      </c>
      <c r="AC129" s="2" t="s">
        <v>544</v>
      </c>
      <c r="AD129" s="48"/>
      <c r="AE129" s="48"/>
      <c r="AF129" s="153" t="s">
        <v>1688</v>
      </c>
      <c r="AG129" s="5"/>
      <c r="AH129" s="5"/>
      <c r="AI129" s="6">
        <v>2</v>
      </c>
      <c r="AJ129" s="114" t="str">
        <f ca="1">IF((WEEKDAY(TODAY(),2))=6,"10:00","09:30")</f>
        <v>09:30</v>
      </c>
      <c r="AK129" s="58">
        <v>0.54166666666666696</v>
      </c>
      <c r="AL129" s="58" t="str">
        <f t="shared" ca="1" si="9"/>
        <v>09:30 - 13:00</v>
      </c>
      <c r="AM129" s="151">
        <v>6</v>
      </c>
      <c r="AN129" s="95">
        <f t="shared" si="16"/>
        <v>392768</v>
      </c>
      <c r="AO129" s="94" t="b">
        <v>1</v>
      </c>
      <c r="AP129" s="34">
        <f t="shared" si="10"/>
        <v>1227.4000000000001</v>
      </c>
      <c r="AQ129" s="23">
        <f t="shared" si="11"/>
        <v>3</v>
      </c>
      <c r="AR129" s="35" t="s">
        <v>48</v>
      </c>
      <c r="AS129" s="1"/>
      <c r="AT129" s="1"/>
      <c r="AU129" s="44"/>
      <c r="AV129" s="1"/>
      <c r="AW129" s="63" t="str">
        <f t="shared" ca="1" si="12"/>
        <v>10:12:57</v>
      </c>
      <c r="AX129" s="152"/>
      <c r="AY129" s="160">
        <v>1</v>
      </c>
      <c r="AZ129" s="10"/>
      <c r="BA129" s="104" t="str">
        <f t="shared" si="13"/>
        <v>ОДИНЦОВО-МОЖАЙСКОЕ-Ш-122</v>
      </c>
      <c r="BB129" s="85">
        <f>AP129*3.8+10*60</f>
        <v>5264.12</v>
      </c>
      <c r="BC129" s="110"/>
      <c r="BD129" s="123"/>
      <c r="BE129" s="117" t="s">
        <v>1315</v>
      </c>
      <c r="BF129" s="89">
        <v>-13.731999999999999</v>
      </c>
      <c r="BG129" s="89" t="s">
        <v>1315</v>
      </c>
      <c r="BH129" s="89" t="s">
        <v>1315</v>
      </c>
      <c r="BI129" s="89" t="s">
        <v>1315</v>
      </c>
      <c r="BJ129" s="89">
        <v>-27.971999999999994</v>
      </c>
      <c r="BK129" s="89" t="s">
        <v>1315</v>
      </c>
      <c r="BL129" s="10" t="s">
        <v>542</v>
      </c>
      <c r="BM129" s="1"/>
    </row>
    <row r="130" spans="1:65" ht="15" customHeight="1" x14ac:dyDescent="0.3">
      <c r="C130" s="1">
        <v>420</v>
      </c>
      <c r="D130" s="6">
        <v>257195</v>
      </c>
      <c r="F130" s="54" t="s">
        <v>1569</v>
      </c>
      <c r="G130" s="8" t="s">
        <v>43</v>
      </c>
      <c r="H130" s="9">
        <v>49.76</v>
      </c>
      <c r="I130" s="9">
        <v>19.5</v>
      </c>
      <c r="J130" s="9" t="s">
        <v>1315</v>
      </c>
      <c r="K130" s="1" t="s">
        <v>1754</v>
      </c>
      <c r="M130" s="2" t="s">
        <v>1960</v>
      </c>
      <c r="N130" s="1">
        <v>1</v>
      </c>
      <c r="O130" s="1">
        <v>3</v>
      </c>
      <c r="P130" s="1" t="s">
        <v>517</v>
      </c>
      <c r="Q130" s="10" t="s">
        <v>1355</v>
      </c>
      <c r="R130" t="s">
        <v>2201</v>
      </c>
      <c r="S130" t="s">
        <v>2202</v>
      </c>
      <c r="T130">
        <v>89994104404</v>
      </c>
      <c r="U130" t="s">
        <v>2181</v>
      </c>
      <c r="V130" t="s">
        <v>2203</v>
      </c>
      <c r="W130">
        <v>9949330306</v>
      </c>
      <c r="X130" t="s">
        <v>2183</v>
      </c>
      <c r="Y130" t="s">
        <v>2118</v>
      </c>
      <c r="Z130" t="s">
        <v>2184</v>
      </c>
      <c r="AA130">
        <v>8</v>
      </c>
      <c r="AB130" s="6" t="s">
        <v>938</v>
      </c>
      <c r="AC130" s="2" t="s">
        <v>1356</v>
      </c>
      <c r="AF130" s="153" t="s">
        <v>1672</v>
      </c>
      <c r="AI130" s="6">
        <v>2</v>
      </c>
      <c r="AJ130" s="114" t="str">
        <f ca="1">IF((WEEKDAY(TODAY(),2))=6,"10:00","09:30")</f>
        <v>09:30</v>
      </c>
      <c r="AK130" s="58">
        <v>0.54166666666666696</v>
      </c>
      <c r="AL130" s="58" t="str">
        <f t="shared" ca="1" si="9"/>
        <v>09:30 - 13:00</v>
      </c>
      <c r="AM130" s="151">
        <v>6</v>
      </c>
      <c r="AN130" s="95">
        <f t="shared" si="16"/>
        <v>443263.99999999994</v>
      </c>
      <c r="AO130" s="94" t="b">
        <v>1</v>
      </c>
      <c r="AP130" s="34">
        <f t="shared" si="10"/>
        <v>1385.1999999999998</v>
      </c>
      <c r="AQ130" s="23">
        <f t="shared" si="11"/>
        <v>3</v>
      </c>
      <c r="AR130" s="35" t="s">
        <v>48</v>
      </c>
      <c r="AW130" s="63" t="str">
        <f t="shared" ca="1" si="12"/>
        <v>11:47:01</v>
      </c>
      <c r="AX130" s="152"/>
      <c r="AY130" s="160">
        <v>1</v>
      </c>
      <c r="AZ130" s="10"/>
      <c r="BA130" s="104" t="str">
        <f t="shared" si="13"/>
        <v>ОДИНЦОВО-ЧИКИНА-3А</v>
      </c>
      <c r="BB130" s="85">
        <f>AP130*3+10*60</f>
        <v>4755.5999999999995</v>
      </c>
      <c r="BD130" s="123"/>
      <c r="BE130" s="117" t="s">
        <v>1315</v>
      </c>
      <c r="BF130" s="89">
        <v>5.8500000000000085</v>
      </c>
      <c r="BG130" s="89" t="s">
        <v>1315</v>
      </c>
      <c r="BH130" s="89" t="s">
        <v>1315</v>
      </c>
      <c r="BI130" s="89" t="s">
        <v>1315</v>
      </c>
      <c r="BJ130" s="89">
        <v>67.706666666666706</v>
      </c>
      <c r="BK130" s="89" t="s">
        <v>1315</v>
      </c>
      <c r="BL130" s="54" t="s">
        <v>1357</v>
      </c>
    </row>
    <row r="131" spans="1:65" ht="15" customHeight="1" x14ac:dyDescent="0.3">
      <c r="C131" s="1">
        <v>494</v>
      </c>
      <c r="D131" s="6">
        <v>60</v>
      </c>
      <c r="E131" s="6">
        <v>7060</v>
      </c>
      <c r="F131" s="1" t="s">
        <v>1594</v>
      </c>
      <c r="G131" s="8" t="s">
        <v>50</v>
      </c>
      <c r="H131" s="9">
        <v>30.96</v>
      </c>
      <c r="I131" s="9">
        <v>7.77</v>
      </c>
      <c r="J131" s="9" t="s">
        <v>1838</v>
      </c>
      <c r="K131" s="1" t="s">
        <v>1758</v>
      </c>
      <c r="L131" s="2" t="s">
        <v>44</v>
      </c>
      <c r="M131" s="2" t="s">
        <v>2054</v>
      </c>
      <c r="N131" s="1">
        <v>2</v>
      </c>
      <c r="O131" s="1">
        <v>1</v>
      </c>
      <c r="P131" s="1" t="s">
        <v>51</v>
      </c>
      <c r="Q131" s="10" t="s">
        <v>154</v>
      </c>
      <c r="R131" t="s">
        <v>2201</v>
      </c>
      <c r="S131" t="s">
        <v>2202</v>
      </c>
      <c r="T131">
        <v>89994104404</v>
      </c>
      <c r="U131" t="s">
        <v>2181</v>
      </c>
      <c r="V131" t="s">
        <v>2203</v>
      </c>
      <c r="W131">
        <v>9949330306</v>
      </c>
      <c r="X131" t="s">
        <v>2183</v>
      </c>
      <c r="Y131" t="s">
        <v>2118</v>
      </c>
      <c r="Z131" t="s">
        <v>2184</v>
      </c>
      <c r="AA131">
        <v>8</v>
      </c>
      <c r="AB131" s="6" t="s">
        <v>1071</v>
      </c>
      <c r="AC131" s="2" t="s">
        <v>155</v>
      </c>
      <c r="AF131" s="171" t="s">
        <v>732</v>
      </c>
      <c r="AI131" s="6">
        <v>2</v>
      </c>
      <c r="AJ131" s="13" t="s">
        <v>1329</v>
      </c>
      <c r="AK131" t="str">
        <f ca="1">IF((WEEKDAY(TODAY(),2))=4,"13:00","16:30")</f>
        <v>16:30</v>
      </c>
      <c r="AL131" s="58" t="str">
        <f t="shared" ca="1" si="9"/>
        <v>09:30 - 16:30</v>
      </c>
      <c r="AM131" s="151">
        <v>5</v>
      </c>
      <c r="AN131" s="95">
        <f t="shared" si="16"/>
        <v>300000</v>
      </c>
      <c r="AO131" s="94" t="b">
        <v>1</v>
      </c>
      <c r="AP131" s="34">
        <f t="shared" si="10"/>
        <v>774.6</v>
      </c>
      <c r="AQ131" s="23">
        <f t="shared" si="11"/>
        <v>2</v>
      </c>
      <c r="AR131" s="35" t="s">
        <v>48</v>
      </c>
      <c r="AW131" s="63" t="str">
        <f t="shared" si="12"/>
        <v>15:10:43</v>
      </c>
      <c r="AX131" s="152"/>
      <c r="AY131" s="160">
        <v>2</v>
      </c>
      <c r="AZ131" s="10"/>
      <c r="BA131" s="104" t="str">
        <f t="shared" si="13"/>
        <v>АРХ-ВЛАСОВА-22</v>
      </c>
      <c r="BB131" s="85">
        <f>AP131*2.8+10*60</f>
        <v>2768.88</v>
      </c>
      <c r="BD131" s="123"/>
      <c r="BE131" s="117" t="s">
        <v>1315</v>
      </c>
      <c r="BF131" s="89" t="s">
        <v>1315</v>
      </c>
      <c r="BG131" s="89" t="s">
        <v>1315</v>
      </c>
      <c r="BH131" s="89">
        <v>-10.410666666666664</v>
      </c>
      <c r="BI131" s="89" t="s">
        <v>1315</v>
      </c>
      <c r="BJ131" s="89" t="s">
        <v>1315</v>
      </c>
      <c r="BK131" s="89" t="s">
        <v>1315</v>
      </c>
      <c r="BL131" s="1" t="s">
        <v>153</v>
      </c>
    </row>
    <row r="132" spans="1:65" ht="15" customHeight="1" x14ac:dyDescent="0.3">
      <c r="C132" s="1">
        <v>493</v>
      </c>
      <c r="D132" s="6">
        <v>7068</v>
      </c>
      <c r="E132" s="6">
        <v>4068</v>
      </c>
      <c r="F132" s="36" t="s">
        <v>1593</v>
      </c>
      <c r="G132" s="8" t="s">
        <v>50</v>
      </c>
      <c r="H132" s="9">
        <v>35.370000000000005</v>
      </c>
      <c r="I132" s="9">
        <v>13.48</v>
      </c>
      <c r="J132" s="9" t="s">
        <v>1315</v>
      </c>
      <c r="K132" s="1" t="s">
        <v>1758</v>
      </c>
      <c r="M132" s="2" t="s">
        <v>1975</v>
      </c>
      <c r="N132" s="1">
        <v>2</v>
      </c>
      <c r="O132" s="1">
        <v>2</v>
      </c>
      <c r="P132" s="1" t="s">
        <v>51</v>
      </c>
      <c r="Q132" s="1" t="s">
        <v>972</v>
      </c>
      <c r="R132" t="s">
        <v>2201</v>
      </c>
      <c r="S132" t="s">
        <v>2202</v>
      </c>
      <c r="T132">
        <v>89994104404</v>
      </c>
      <c r="U132" t="s">
        <v>2181</v>
      </c>
      <c r="V132" t="s">
        <v>2203</v>
      </c>
      <c r="W132">
        <v>9949330306</v>
      </c>
      <c r="X132" t="s">
        <v>2183</v>
      </c>
      <c r="Y132" t="s">
        <v>2118</v>
      </c>
      <c r="Z132" t="s">
        <v>2184</v>
      </c>
      <c r="AA132">
        <v>8</v>
      </c>
      <c r="AB132" s="6" t="s">
        <v>1070</v>
      </c>
      <c r="AC132" s="1" t="s">
        <v>973</v>
      </c>
      <c r="AF132" s="167" t="s">
        <v>1672</v>
      </c>
      <c r="AI132" s="6">
        <v>2</v>
      </c>
      <c r="AJ132" s="13" t="s">
        <v>1329</v>
      </c>
      <c r="AK132" s="142" t="str">
        <f>IF(AP132&gt;2000,"15:00",IF(AP132&lt;1000,"16:30","16:00"))</f>
        <v>16:30</v>
      </c>
      <c r="AL132" s="58" t="str">
        <f t="shared" si="9"/>
        <v>09:30 - 16:30</v>
      </c>
      <c r="AM132" s="151">
        <v>5</v>
      </c>
      <c r="AN132" s="95">
        <f t="shared" si="16"/>
        <v>300000</v>
      </c>
      <c r="AO132" s="94" t="b">
        <v>1</v>
      </c>
      <c r="AP132" s="34">
        <f t="shared" si="10"/>
        <v>977.00000000000011</v>
      </c>
      <c r="AQ132" s="23">
        <f t="shared" si="11"/>
        <v>2</v>
      </c>
      <c r="AR132" s="35" t="s">
        <v>48</v>
      </c>
      <c r="AW132" s="63" t="str">
        <f t="shared" si="12"/>
        <v>16:07:12</v>
      </c>
      <c r="AX132" s="152"/>
      <c r="AY132" s="160">
        <v>2</v>
      </c>
      <c r="AZ132" s="10"/>
      <c r="BA132" s="104" t="str">
        <f t="shared" si="13"/>
        <v>АК-ПИЛЮГИНА-18</v>
      </c>
      <c r="BB132" s="85">
        <f>AP132*3+10*60</f>
        <v>3531.0000000000005</v>
      </c>
      <c r="BD132" s="123"/>
      <c r="BE132" s="117" t="s">
        <v>1315</v>
      </c>
      <c r="BF132" s="89" t="s">
        <v>1315</v>
      </c>
      <c r="BG132" s="89" t="s">
        <v>1315</v>
      </c>
      <c r="BH132" s="89">
        <v>-47.223333333333322</v>
      </c>
      <c r="BI132" s="89" t="s">
        <v>1315</v>
      </c>
      <c r="BJ132" s="89">
        <v>-32.88000000000001</v>
      </c>
      <c r="BK132" s="89" t="s">
        <v>1315</v>
      </c>
      <c r="BL132" s="36" t="s">
        <v>971</v>
      </c>
    </row>
    <row r="133" spans="1:65" ht="15" customHeight="1" x14ac:dyDescent="0.3">
      <c r="C133" s="1">
        <v>505</v>
      </c>
      <c r="D133" s="6">
        <v>46</v>
      </c>
      <c r="E133" s="6">
        <v>7046</v>
      </c>
      <c r="F133" s="1" t="s">
        <v>1596</v>
      </c>
      <c r="G133" s="8" t="s">
        <v>50</v>
      </c>
      <c r="H133" s="9">
        <v>57.75</v>
      </c>
      <c r="I133" s="9">
        <v>7.17</v>
      </c>
      <c r="J133" s="9" t="s">
        <v>1793</v>
      </c>
      <c r="K133" s="1" t="s">
        <v>1747</v>
      </c>
      <c r="M133" s="2" t="s">
        <v>1951</v>
      </c>
      <c r="N133" s="1">
        <v>1</v>
      </c>
      <c r="O133" s="1">
        <v>1</v>
      </c>
      <c r="P133" s="1" t="s">
        <v>51</v>
      </c>
      <c r="Q133" s="10" t="s">
        <v>581</v>
      </c>
      <c r="R133" t="s">
        <v>2204</v>
      </c>
      <c r="S133" t="s">
        <v>2205</v>
      </c>
      <c r="T133">
        <v>89660443191</v>
      </c>
      <c r="U133" t="s">
        <v>2181</v>
      </c>
      <c r="V133" t="s">
        <v>2206</v>
      </c>
      <c r="W133">
        <v>9955447487</v>
      </c>
      <c r="X133" t="s">
        <v>2183</v>
      </c>
      <c r="Y133" t="s">
        <v>2118</v>
      </c>
      <c r="Z133" t="s">
        <v>2184</v>
      </c>
      <c r="AA133">
        <v>8</v>
      </c>
      <c r="AB133" s="6" t="s">
        <v>1086</v>
      </c>
      <c r="AC133" s="2" t="s">
        <v>582</v>
      </c>
      <c r="AF133" s="153" t="s">
        <v>1672</v>
      </c>
      <c r="AI133" s="6">
        <v>2</v>
      </c>
      <c r="AJ133" s="13" t="s">
        <v>1329</v>
      </c>
      <c r="AK133" s="58">
        <v>0.54166666666666696</v>
      </c>
      <c r="AL133" s="58" t="str">
        <f t="shared" ref="AL133:AL196" si="17">CONCATENATE(TEXT(AJ133,"ЧЧ:ММ")," ","-"," ",TEXT(AK133,"ЧЧ:ММ"))</f>
        <v>09:30 - 13:00</v>
      </c>
      <c r="AM133" s="151">
        <v>6</v>
      </c>
      <c r="AN133" s="95">
        <f t="shared" si="16"/>
        <v>415488</v>
      </c>
      <c r="AO133" s="94" t="b">
        <v>1</v>
      </c>
      <c r="AP133" s="34">
        <f t="shared" ref="AP133:AP196" si="18">H133*20+I133*20</f>
        <v>1298.4000000000001</v>
      </c>
      <c r="AQ133" s="23">
        <f t="shared" ref="AQ133:AQ196" si="19">IF(AP133&gt;520,ROUNDUP(((H133*20)/560+(I133*20)/550),0),IF(SUM(H133:I133)=0,0,IF(AP133&lt;255,1,ROUND(((H133*20)/520+(I133*20)/450),0))))</f>
        <v>3</v>
      </c>
      <c r="AR133" s="35" t="s">
        <v>48</v>
      </c>
      <c r="AW133" s="63" t="str">
        <f t="shared" ref="AW133:AW196" si="20">IF(TIMEVALUE(M133)&lt;TIMEVALUE(AJ133),AJ133,M133)</f>
        <v>09:33:48</v>
      </c>
      <c r="AX133" s="152"/>
      <c r="AY133" s="160">
        <v>1</v>
      </c>
      <c r="AZ133" s="10"/>
      <c r="BA133" s="104" t="str">
        <f t="shared" ref="BA133:BA196" si="21">F133</f>
        <v>АМИНЬЕВСКОЕ-Ш-16</v>
      </c>
      <c r="BB133" s="87">
        <f>AP133*3.5+10*60</f>
        <v>5144.4000000000005</v>
      </c>
      <c r="BD133" s="123"/>
      <c r="BE133" s="117">
        <v>-28.198333333333309</v>
      </c>
      <c r="BF133" s="89">
        <v>2.25833333333334</v>
      </c>
      <c r="BG133" s="89" t="s">
        <v>1315</v>
      </c>
      <c r="BH133" s="89" t="s">
        <v>1315</v>
      </c>
      <c r="BI133" s="89" t="s">
        <v>1315</v>
      </c>
      <c r="BJ133" s="89" t="s">
        <v>1315</v>
      </c>
      <c r="BK133" s="89">
        <v>-35.471666666666664</v>
      </c>
      <c r="BL133" s="1" t="s">
        <v>580</v>
      </c>
    </row>
    <row r="134" spans="1:65" ht="15" customHeight="1" x14ac:dyDescent="0.3">
      <c r="C134" s="1">
        <v>501</v>
      </c>
      <c r="D134" s="6">
        <v>892</v>
      </c>
      <c r="E134" s="6">
        <v>4892</v>
      </c>
      <c r="F134" s="10" t="s">
        <v>1451</v>
      </c>
      <c r="G134" s="8" t="s">
        <v>50</v>
      </c>
      <c r="H134" s="9">
        <v>37.099999999999994</v>
      </c>
      <c r="I134" s="9">
        <v>16.71</v>
      </c>
      <c r="J134" s="9" t="s">
        <v>1315</v>
      </c>
      <c r="K134" s="1" t="s">
        <v>1747</v>
      </c>
      <c r="M134" s="2" t="s">
        <v>1953</v>
      </c>
      <c r="N134" s="1">
        <v>1</v>
      </c>
      <c r="O134" s="1">
        <v>2</v>
      </c>
      <c r="P134" s="1" t="s">
        <v>51</v>
      </c>
      <c r="Q134" s="1" t="s">
        <v>204</v>
      </c>
      <c r="R134" t="s">
        <v>2204</v>
      </c>
      <c r="S134" t="s">
        <v>2205</v>
      </c>
      <c r="T134">
        <v>89660443191</v>
      </c>
      <c r="U134" t="s">
        <v>2181</v>
      </c>
      <c r="V134" t="s">
        <v>2206</v>
      </c>
      <c r="W134">
        <v>9955447487</v>
      </c>
      <c r="X134" t="s">
        <v>2183</v>
      </c>
      <c r="Y134" t="s">
        <v>2118</v>
      </c>
      <c r="Z134" t="s">
        <v>2184</v>
      </c>
      <c r="AA134">
        <v>8</v>
      </c>
      <c r="AB134" s="6" t="s">
        <v>1082</v>
      </c>
      <c r="AC134" s="2" t="s">
        <v>205</v>
      </c>
      <c r="AF134" s="153" t="s">
        <v>1672</v>
      </c>
      <c r="AI134" s="6">
        <v>2</v>
      </c>
      <c r="AJ134" s="13" t="s">
        <v>1329</v>
      </c>
      <c r="AK134" s="58">
        <v>0.54166666666666696</v>
      </c>
      <c r="AL134" s="58" t="str">
        <f t="shared" si="17"/>
        <v>09:30 - 13:00</v>
      </c>
      <c r="AM134" s="151">
        <v>6</v>
      </c>
      <c r="AN134" s="95">
        <f t="shared" si="16"/>
        <v>344383.99999999994</v>
      </c>
      <c r="AO134" s="94" t="b">
        <v>1</v>
      </c>
      <c r="AP134" s="34">
        <f t="shared" si="18"/>
        <v>1076.1999999999998</v>
      </c>
      <c r="AQ134" s="23">
        <f t="shared" si="19"/>
        <v>2</v>
      </c>
      <c r="AR134" s="35" t="s">
        <v>48</v>
      </c>
      <c r="AW134" s="63" t="str">
        <f t="shared" si="20"/>
        <v>11:11:45</v>
      </c>
      <c r="AX134" s="152"/>
      <c r="AY134" s="160">
        <v>1</v>
      </c>
      <c r="AZ134" s="10"/>
      <c r="BA134" s="104" t="str">
        <f t="shared" si="21"/>
        <v>ВЕРЕСАЕВА-12</v>
      </c>
      <c r="BB134" s="52">
        <f>AP134*3.5+10*60</f>
        <v>4366.6999999999989</v>
      </c>
      <c r="BD134" s="123"/>
      <c r="BE134" s="117" t="s">
        <v>1315</v>
      </c>
      <c r="BF134" s="89" t="s">
        <v>1315</v>
      </c>
      <c r="BG134" s="89">
        <v>-13.104999999999997</v>
      </c>
      <c r="BH134" s="89">
        <v>3.5033333333333303</v>
      </c>
      <c r="BI134" s="89" t="s">
        <v>1315</v>
      </c>
      <c r="BJ134" s="89">
        <v>10.230000000000004</v>
      </c>
      <c r="BK134" s="89" t="s">
        <v>1315</v>
      </c>
      <c r="BL134" s="10" t="s">
        <v>203</v>
      </c>
    </row>
    <row r="135" spans="1:65" ht="15" customHeight="1" x14ac:dyDescent="0.3">
      <c r="C135" s="1">
        <v>424</v>
      </c>
      <c r="D135" s="6">
        <v>25809</v>
      </c>
      <c r="E135" s="6">
        <v>4809</v>
      </c>
      <c r="F135" s="10" t="s">
        <v>1573</v>
      </c>
      <c r="G135" s="8" t="s">
        <v>43</v>
      </c>
      <c r="H135" s="9">
        <v>23.11</v>
      </c>
      <c r="I135" s="9">
        <v>6.53</v>
      </c>
      <c r="J135" s="9" t="s">
        <v>1315</v>
      </c>
      <c r="K135" s="1" t="s">
        <v>1747</v>
      </c>
      <c r="M135" s="2" t="s">
        <v>2045</v>
      </c>
      <c r="N135" s="1">
        <v>1</v>
      </c>
      <c r="O135" s="1">
        <v>3</v>
      </c>
      <c r="P135" s="1" t="s">
        <v>517</v>
      </c>
      <c r="Q135" s="10" t="s">
        <v>540</v>
      </c>
      <c r="R135" t="s">
        <v>2204</v>
      </c>
      <c r="S135" t="s">
        <v>2205</v>
      </c>
      <c r="T135">
        <v>89660443191</v>
      </c>
      <c r="U135" t="s">
        <v>2181</v>
      </c>
      <c r="V135" t="s">
        <v>2206</v>
      </c>
      <c r="W135">
        <v>9955447487</v>
      </c>
      <c r="X135" t="s">
        <v>2183</v>
      </c>
      <c r="Y135" t="s">
        <v>2118</v>
      </c>
      <c r="Z135" t="s">
        <v>2184</v>
      </c>
      <c r="AA135">
        <v>8</v>
      </c>
      <c r="AB135" s="6" t="s">
        <v>942</v>
      </c>
      <c r="AC135" s="2" t="s">
        <v>541</v>
      </c>
      <c r="AF135" s="153" t="s">
        <v>1672</v>
      </c>
      <c r="AI135" s="6">
        <v>2</v>
      </c>
      <c r="AJ135" s="114" t="str">
        <f ca="1">IF((WEEKDAY(TODAY(),2))=6,"10:00","09:30")</f>
        <v>09:30</v>
      </c>
      <c r="AK135" s="58">
        <v>0.54166666666666696</v>
      </c>
      <c r="AL135" s="58" t="str">
        <f t="shared" ca="1" si="17"/>
        <v>09:30 - 13:00</v>
      </c>
      <c r="AM135" s="151">
        <v>6</v>
      </c>
      <c r="AN135" s="95">
        <f t="shared" si="16"/>
        <v>300000</v>
      </c>
      <c r="AO135" s="94" t="b">
        <v>1</v>
      </c>
      <c r="AP135" s="34">
        <f t="shared" si="18"/>
        <v>592.79999999999995</v>
      </c>
      <c r="AQ135" s="23">
        <f t="shared" si="19"/>
        <v>2</v>
      </c>
      <c r="AR135" s="35" t="s">
        <v>48</v>
      </c>
      <c r="AW135" s="63" t="str">
        <f t="shared" ca="1" si="20"/>
        <v>12:51:34</v>
      </c>
      <c r="AX135" s="152"/>
      <c r="AY135" s="160">
        <v>1</v>
      </c>
      <c r="AZ135" s="10"/>
      <c r="BA135" s="104" t="str">
        <f t="shared" si="21"/>
        <v>ОДИНЦОВО-МОЖАЙСКОЕ-Ш-101А</v>
      </c>
      <c r="BB135" s="87">
        <f>AP135*3.5+10*60</f>
        <v>2674.7999999999997</v>
      </c>
      <c r="BD135" s="123"/>
      <c r="BE135" s="117" t="s">
        <v>1315</v>
      </c>
      <c r="BF135" s="89">
        <v>-27.693333333333328</v>
      </c>
      <c r="BG135" s="89" t="s">
        <v>1315</v>
      </c>
      <c r="BH135" s="89" t="s">
        <v>1315</v>
      </c>
      <c r="BI135" s="89" t="s">
        <v>1315</v>
      </c>
      <c r="BJ135" s="89">
        <v>-51.324999999999996</v>
      </c>
      <c r="BK135" s="89" t="s">
        <v>1315</v>
      </c>
      <c r="BL135" s="10" t="s">
        <v>539</v>
      </c>
    </row>
    <row r="136" spans="1:65" ht="15" customHeight="1" x14ac:dyDescent="0.3">
      <c r="C136" s="1">
        <v>452</v>
      </c>
      <c r="D136" s="6">
        <v>7031</v>
      </c>
      <c r="E136" s="6">
        <v>4031</v>
      </c>
      <c r="F136" s="1" t="s">
        <v>1413</v>
      </c>
      <c r="G136" s="8" t="s">
        <v>50</v>
      </c>
      <c r="H136" s="9">
        <v>39.839999999999996</v>
      </c>
      <c r="I136" s="9">
        <v>14.88</v>
      </c>
      <c r="J136" s="9" t="s">
        <v>1797</v>
      </c>
      <c r="K136" s="1" t="s">
        <v>1753</v>
      </c>
      <c r="M136" s="2" t="s">
        <v>1958</v>
      </c>
      <c r="N136" s="1">
        <v>2</v>
      </c>
      <c r="O136" s="1">
        <v>1</v>
      </c>
      <c r="P136" s="1" t="s">
        <v>51</v>
      </c>
      <c r="Q136" s="10" t="s">
        <v>710</v>
      </c>
      <c r="R136" t="s">
        <v>2204</v>
      </c>
      <c r="S136" t="s">
        <v>2205</v>
      </c>
      <c r="T136">
        <v>89660443191</v>
      </c>
      <c r="U136" t="s">
        <v>2181</v>
      </c>
      <c r="V136" t="s">
        <v>2206</v>
      </c>
      <c r="W136">
        <v>9955447487</v>
      </c>
      <c r="X136" t="s">
        <v>2183</v>
      </c>
      <c r="Y136" t="s">
        <v>2118</v>
      </c>
      <c r="Z136" t="s">
        <v>2184</v>
      </c>
      <c r="AA136">
        <v>8</v>
      </c>
      <c r="AB136" s="6" t="s">
        <v>968</v>
      </c>
      <c r="AC136" s="10" t="s">
        <v>711</v>
      </c>
      <c r="AF136" s="171" t="s">
        <v>732</v>
      </c>
      <c r="AH136" s="24"/>
      <c r="AI136" s="6">
        <v>2</v>
      </c>
      <c r="AJ136" s="13" t="s">
        <v>1328</v>
      </c>
      <c r="AK136" s="142" t="str">
        <f>IF(AP136&gt;2000,"15:00",IF(AP136&lt;1000,"16:30","16:00"))</f>
        <v>16:00</v>
      </c>
      <c r="AL136" s="58" t="str">
        <f t="shared" si="17"/>
        <v>09:00 - 16:00</v>
      </c>
      <c r="AM136" s="151">
        <v>6</v>
      </c>
      <c r="AN136" s="95">
        <f t="shared" si="16"/>
        <v>350208</v>
      </c>
      <c r="AO136" s="94" t="b">
        <v>1</v>
      </c>
      <c r="AP136" s="34">
        <f t="shared" si="18"/>
        <v>1094.4000000000001</v>
      </c>
      <c r="AQ136" s="23">
        <f t="shared" si="19"/>
        <v>2</v>
      </c>
      <c r="AR136" s="35" t="s">
        <v>48</v>
      </c>
      <c r="AW136" s="63" t="str">
        <f t="shared" si="20"/>
        <v>15:19:03</v>
      </c>
      <c r="AX136" s="152"/>
      <c r="AY136" s="160">
        <v>2</v>
      </c>
      <c r="AZ136" s="10"/>
      <c r="BA136" s="104" t="str">
        <f t="shared" si="21"/>
        <v>РОДНИКОВАЯ-9А</v>
      </c>
      <c r="BB136" s="87">
        <f>AP136*3.5+10*60</f>
        <v>4430.4000000000005</v>
      </c>
      <c r="BD136" s="123"/>
      <c r="BE136" s="117" t="s">
        <v>1315</v>
      </c>
      <c r="BF136" s="89">
        <v>9.0550000000000068</v>
      </c>
      <c r="BG136" s="89" t="s">
        <v>1315</v>
      </c>
      <c r="BH136" s="89" t="s">
        <v>1315</v>
      </c>
      <c r="BI136" s="89" t="s">
        <v>1315</v>
      </c>
      <c r="BJ136" s="89" t="s">
        <v>1315</v>
      </c>
      <c r="BK136" s="89">
        <v>-11.118333333333339</v>
      </c>
      <c r="BL136" s="1" t="s">
        <v>709</v>
      </c>
    </row>
    <row r="137" spans="1:65" ht="15" customHeight="1" x14ac:dyDescent="0.3">
      <c r="C137" s="1">
        <v>468</v>
      </c>
      <c r="D137" s="6">
        <v>7100</v>
      </c>
      <c r="E137" s="6">
        <v>4100</v>
      </c>
      <c r="F137" s="10" t="s">
        <v>1587</v>
      </c>
      <c r="G137" s="8" t="s">
        <v>50</v>
      </c>
      <c r="H137" s="9">
        <v>20.03</v>
      </c>
      <c r="I137" s="9">
        <v>9.59</v>
      </c>
      <c r="J137" s="9" t="s">
        <v>1315</v>
      </c>
      <c r="K137" s="1" t="s">
        <v>1753</v>
      </c>
      <c r="M137" s="2" t="s">
        <v>1959</v>
      </c>
      <c r="N137" s="1">
        <v>2</v>
      </c>
      <c r="O137" s="1">
        <v>2</v>
      </c>
      <c r="P137" s="1" t="s">
        <v>567</v>
      </c>
      <c r="Q137" s="2" t="s">
        <v>1052</v>
      </c>
      <c r="R137" t="s">
        <v>2204</v>
      </c>
      <c r="S137" t="s">
        <v>2205</v>
      </c>
      <c r="T137">
        <v>89660443191</v>
      </c>
      <c r="U137" t="s">
        <v>2181</v>
      </c>
      <c r="V137" t="s">
        <v>2206</v>
      </c>
      <c r="W137">
        <v>9955447487</v>
      </c>
      <c r="X137" t="s">
        <v>2183</v>
      </c>
      <c r="Y137" t="s">
        <v>2118</v>
      </c>
      <c r="Z137" t="s">
        <v>2184</v>
      </c>
      <c r="AA137">
        <v>8</v>
      </c>
      <c r="AB137" s="6" t="s">
        <v>989</v>
      </c>
      <c r="AC137" s="55" t="s">
        <v>1053</v>
      </c>
      <c r="AF137" s="167" t="s">
        <v>1672</v>
      </c>
      <c r="AI137" s="6">
        <v>2</v>
      </c>
      <c r="AJ137" s="13" t="s">
        <v>1329</v>
      </c>
      <c r="AK137" s="162">
        <v>0.75</v>
      </c>
      <c r="AL137" s="58" t="str">
        <f t="shared" si="17"/>
        <v>09:30 - 18:00</v>
      </c>
      <c r="AM137" s="151">
        <v>6</v>
      </c>
      <c r="AN137" s="95">
        <f t="shared" si="16"/>
        <v>300000</v>
      </c>
      <c r="AO137" s="94" t="b">
        <v>1</v>
      </c>
      <c r="AP137" s="34">
        <f t="shared" si="18"/>
        <v>592.40000000000009</v>
      </c>
      <c r="AQ137" s="23">
        <f t="shared" si="19"/>
        <v>2</v>
      </c>
      <c r="AR137" s="35" t="s">
        <v>48</v>
      </c>
      <c r="AW137" s="63" t="str">
        <f t="shared" si="20"/>
        <v>16:43:56</v>
      </c>
      <c r="AX137" s="152"/>
      <c r="AY137" s="160">
        <v>3</v>
      </c>
      <c r="AZ137" s="10"/>
      <c r="BA137" s="104" t="str">
        <f t="shared" si="21"/>
        <v>МОСКОВСКИЙ-ИНЖ-КНОРРЕ-7К1</v>
      </c>
      <c r="BB137" s="85">
        <f>AP137*4.5+10*60</f>
        <v>3265.8</v>
      </c>
      <c r="BD137" s="123"/>
      <c r="BE137" s="117" t="s">
        <v>1315</v>
      </c>
      <c r="BF137" s="89" t="s">
        <v>1315</v>
      </c>
      <c r="BG137" s="89" t="s">
        <v>1315</v>
      </c>
      <c r="BH137" s="89" t="s">
        <v>1315</v>
      </c>
      <c r="BI137" s="89">
        <v>-20.010000000000005</v>
      </c>
      <c r="BJ137" s="89" t="s">
        <v>1315</v>
      </c>
      <c r="BK137" s="89" t="s">
        <v>1315</v>
      </c>
      <c r="BL137" s="10" t="s">
        <v>1051</v>
      </c>
    </row>
    <row r="138" spans="1:65" ht="15" customHeight="1" x14ac:dyDescent="0.3">
      <c r="C138" s="1">
        <v>421</v>
      </c>
      <c r="D138" s="6">
        <v>25869</v>
      </c>
      <c r="E138" s="6">
        <v>4869</v>
      </c>
      <c r="F138" s="10" t="s">
        <v>1570</v>
      </c>
      <c r="G138" s="8" t="s">
        <v>43</v>
      </c>
      <c r="H138" s="9">
        <v>62.660000000000004</v>
      </c>
      <c r="I138" s="9">
        <v>45.8</v>
      </c>
      <c r="J138" s="9" t="s">
        <v>1802</v>
      </c>
      <c r="K138" s="1" t="s">
        <v>1752</v>
      </c>
      <c r="M138" s="2" t="s">
        <v>1971</v>
      </c>
      <c r="N138" s="1">
        <v>1</v>
      </c>
      <c r="O138" s="1">
        <v>1</v>
      </c>
      <c r="P138" s="1" t="s">
        <v>517</v>
      </c>
      <c r="Q138" s="10" t="s">
        <v>531</v>
      </c>
      <c r="R138" t="s">
        <v>2207</v>
      </c>
      <c r="S138" t="s">
        <v>2208</v>
      </c>
      <c r="T138">
        <v>89857457378</v>
      </c>
      <c r="U138" t="s">
        <v>2181</v>
      </c>
      <c r="V138" t="s">
        <v>2209</v>
      </c>
      <c r="W138">
        <v>9949330193</v>
      </c>
      <c r="X138" t="s">
        <v>2183</v>
      </c>
      <c r="Y138" t="s">
        <v>2118</v>
      </c>
      <c r="Z138" t="s">
        <v>2184</v>
      </c>
      <c r="AA138">
        <v>8</v>
      </c>
      <c r="AB138" s="6" t="s">
        <v>939</v>
      </c>
      <c r="AC138" s="2" t="s">
        <v>532</v>
      </c>
      <c r="AF138" s="167" t="s">
        <v>1672</v>
      </c>
      <c r="AI138" s="6">
        <v>1</v>
      </c>
      <c r="AJ138" s="144" t="str">
        <f ca="1">IF((WEEKDAY(TODAY(),2))=6,"10:00","08:00")</f>
        <v>08:00</v>
      </c>
      <c r="AK138" s="144" t="str">
        <f ca="1">IF((WEEKDAY(TODAY(),2))=6,"16:00","10:00")</f>
        <v>10:00</v>
      </c>
      <c r="AL138" s="58" t="str">
        <f t="shared" ca="1" si="17"/>
        <v>08:00 - 10:00</v>
      </c>
      <c r="AM138" s="151">
        <v>6</v>
      </c>
      <c r="AN138" s="95">
        <f t="shared" si="16"/>
        <v>694144</v>
      </c>
      <c r="AO138" s="94" t="b">
        <v>1</v>
      </c>
      <c r="AP138" s="34">
        <f t="shared" si="18"/>
        <v>2169.1999999999998</v>
      </c>
      <c r="AQ138" s="23">
        <f t="shared" si="19"/>
        <v>4</v>
      </c>
      <c r="AR138" s="35" t="s">
        <v>48</v>
      </c>
      <c r="AW138" s="63" t="str">
        <f t="shared" ca="1" si="20"/>
        <v>08:04:01</v>
      </c>
      <c r="AX138" s="152"/>
      <c r="AY138" s="160">
        <v>1</v>
      </c>
      <c r="AZ138" s="10"/>
      <c r="BA138" s="104" t="str">
        <f t="shared" si="21"/>
        <v>ОДИНЦОВО-СЕВЕРНАЯ-5К2</v>
      </c>
      <c r="BB138" s="87">
        <f>AP138*3.5+10*60</f>
        <v>8192.1999999999989</v>
      </c>
      <c r="BD138" s="123"/>
      <c r="BE138" s="117" t="s">
        <v>1315</v>
      </c>
      <c r="BF138" s="89" t="s">
        <v>1315</v>
      </c>
      <c r="BG138" s="89" t="s">
        <v>1315</v>
      </c>
      <c r="BH138" s="89" t="s">
        <v>1315</v>
      </c>
      <c r="BI138" s="89">
        <v>-23.411666666666704</v>
      </c>
      <c r="BJ138" s="89" t="s">
        <v>1315</v>
      </c>
      <c r="BK138" s="89" t="s">
        <v>1315</v>
      </c>
      <c r="BL138" s="10" t="s">
        <v>530</v>
      </c>
    </row>
    <row r="139" spans="1:65" ht="15" customHeight="1" x14ac:dyDescent="0.3">
      <c r="C139" s="1">
        <v>422</v>
      </c>
      <c r="D139" s="6">
        <v>25999</v>
      </c>
      <c r="E139" s="6">
        <v>4999</v>
      </c>
      <c r="F139" s="17" t="s">
        <v>1571</v>
      </c>
      <c r="G139" s="8" t="s">
        <v>43</v>
      </c>
      <c r="H139" s="9">
        <v>17.73</v>
      </c>
      <c r="I139" s="9">
        <v>5.15</v>
      </c>
      <c r="J139" s="9" t="s">
        <v>1315</v>
      </c>
      <c r="K139" s="1" t="s">
        <v>1752</v>
      </c>
      <c r="M139" s="2" t="s">
        <v>1956</v>
      </c>
      <c r="N139" s="1">
        <v>1</v>
      </c>
      <c r="O139" s="1">
        <v>2</v>
      </c>
      <c r="P139" s="1" t="s">
        <v>517</v>
      </c>
      <c r="Q139" s="10" t="s">
        <v>534</v>
      </c>
      <c r="R139" t="s">
        <v>2207</v>
      </c>
      <c r="S139" t="s">
        <v>2208</v>
      </c>
      <c r="T139">
        <v>89857457378</v>
      </c>
      <c r="U139" t="s">
        <v>2181</v>
      </c>
      <c r="V139" t="s">
        <v>2209</v>
      </c>
      <c r="W139">
        <v>9949330193</v>
      </c>
      <c r="X139" t="s">
        <v>2183</v>
      </c>
      <c r="Y139" t="s">
        <v>2118</v>
      </c>
      <c r="Z139" t="s">
        <v>2184</v>
      </c>
      <c r="AA139">
        <v>8</v>
      </c>
      <c r="AB139" s="6" t="s">
        <v>940</v>
      </c>
      <c r="AC139" s="10" t="s">
        <v>535</v>
      </c>
      <c r="AF139" s="153" t="s">
        <v>1672</v>
      </c>
      <c r="AH139" s="24"/>
      <c r="AI139" s="6">
        <v>2</v>
      </c>
      <c r="AJ139" s="114" t="str">
        <f ca="1">IF((WEEKDAY(TODAY(),2))=6,"10:00","09:30")</f>
        <v>09:30</v>
      </c>
      <c r="AK139" s="58">
        <v>0.54166666666666696</v>
      </c>
      <c r="AL139" s="58" t="str">
        <f t="shared" ca="1" si="17"/>
        <v>09:30 - 13:00</v>
      </c>
      <c r="AM139" s="151">
        <v>6</v>
      </c>
      <c r="AN139" s="95">
        <f t="shared" si="16"/>
        <v>300000</v>
      </c>
      <c r="AO139" s="94" t="b">
        <v>1</v>
      </c>
      <c r="AP139" s="34">
        <f t="shared" si="18"/>
        <v>457.6</v>
      </c>
      <c r="AQ139" s="23">
        <f t="shared" si="19"/>
        <v>1</v>
      </c>
      <c r="AR139" s="35" t="s">
        <v>48</v>
      </c>
      <c r="AT139" s="10"/>
      <c r="AW139" s="63" t="str">
        <f t="shared" ca="1" si="20"/>
        <v>10:27:24</v>
      </c>
      <c r="AX139" s="152"/>
      <c r="AY139" s="160">
        <v>1</v>
      </c>
      <c r="AZ139" s="10"/>
      <c r="BA139" s="104" t="str">
        <f t="shared" si="21"/>
        <v>ОДИНЦОВО-МАРШ-БИРЮЗОВА-13</v>
      </c>
      <c r="BB139" s="85">
        <f>AP139*4.4+10*60</f>
        <v>2613.4400000000005</v>
      </c>
      <c r="BD139" s="123"/>
      <c r="BE139" s="117" t="s">
        <v>1315</v>
      </c>
      <c r="BF139" s="89" t="s">
        <v>1315</v>
      </c>
      <c r="BG139" s="89" t="s">
        <v>1315</v>
      </c>
      <c r="BH139" s="89" t="s">
        <v>1315</v>
      </c>
      <c r="BI139" s="89">
        <v>-23.104666666666667</v>
      </c>
      <c r="BJ139" s="89">
        <v>23.525333333333336</v>
      </c>
      <c r="BK139" s="89">
        <v>58.178666666666693</v>
      </c>
      <c r="BL139" s="17" t="s">
        <v>533</v>
      </c>
    </row>
    <row r="140" spans="1:65" ht="15" customHeight="1" x14ac:dyDescent="0.3">
      <c r="C140" s="1">
        <v>431</v>
      </c>
      <c r="D140" s="6">
        <v>257109</v>
      </c>
      <c r="E140" s="6">
        <v>4109</v>
      </c>
      <c r="F140" s="36" t="s">
        <v>1577</v>
      </c>
      <c r="G140" s="8" t="s">
        <v>43</v>
      </c>
      <c r="H140" s="9">
        <v>61.419999999999995</v>
      </c>
      <c r="I140" s="9">
        <v>22.810000000000002</v>
      </c>
      <c r="J140" s="9" t="s">
        <v>1842</v>
      </c>
      <c r="K140" s="1" t="s">
        <v>1779</v>
      </c>
      <c r="M140" s="2" t="s">
        <v>2062</v>
      </c>
      <c r="N140" s="1">
        <v>2</v>
      </c>
      <c r="O140" s="1">
        <v>1</v>
      </c>
      <c r="P140" s="1" t="s">
        <v>552</v>
      </c>
      <c r="Q140" s="10" t="s">
        <v>1000</v>
      </c>
      <c r="R140" t="s">
        <v>2207</v>
      </c>
      <c r="S140" t="s">
        <v>2208</v>
      </c>
      <c r="T140">
        <v>89857457378</v>
      </c>
      <c r="U140" t="s">
        <v>2181</v>
      </c>
      <c r="V140" t="s">
        <v>2209</v>
      </c>
      <c r="W140">
        <v>9949330193</v>
      </c>
      <c r="X140" t="s">
        <v>2183</v>
      </c>
      <c r="Y140" t="s">
        <v>2118</v>
      </c>
      <c r="Z140" t="s">
        <v>2184</v>
      </c>
      <c r="AA140">
        <v>8</v>
      </c>
      <c r="AB140" s="6" t="s">
        <v>946</v>
      </c>
      <c r="AC140" s="2" t="s">
        <v>1001</v>
      </c>
      <c r="AF140" s="167" t="s">
        <v>1672</v>
      </c>
      <c r="AI140" s="6">
        <v>2</v>
      </c>
      <c r="AJ140" s="114" t="str">
        <f ca="1">IF((WEEKDAY(TODAY(),2))=6,"10:00","09:30")</f>
        <v>09:30</v>
      </c>
      <c r="AK140" s="58">
        <v>0.54166666666666696</v>
      </c>
      <c r="AL140" s="58" t="str">
        <f t="shared" ca="1" si="17"/>
        <v>09:30 - 13:00</v>
      </c>
      <c r="AM140" s="151">
        <v>6</v>
      </c>
      <c r="AN140" s="95">
        <f t="shared" si="16"/>
        <v>539072</v>
      </c>
      <c r="AO140" s="94" t="b">
        <v>1</v>
      </c>
      <c r="AP140" s="34">
        <f t="shared" si="18"/>
        <v>1684.6</v>
      </c>
      <c r="AQ140" s="23">
        <f t="shared" si="19"/>
        <v>4</v>
      </c>
      <c r="AR140" s="35" t="s">
        <v>48</v>
      </c>
      <c r="AW140" s="63" t="str">
        <f t="shared" ca="1" si="20"/>
        <v>12:57:28</v>
      </c>
      <c r="AX140" s="152"/>
      <c r="AY140" s="160">
        <v>1</v>
      </c>
      <c r="AZ140" s="10"/>
      <c r="BA140" s="104" t="str">
        <f t="shared" si="21"/>
        <v>ВНИИССОК-МАРШ-КУТУЗОВА-1</v>
      </c>
      <c r="BB140" s="85">
        <f>AP140*3+10*60</f>
        <v>5653.7999999999993</v>
      </c>
      <c r="BD140" s="123"/>
      <c r="BE140" s="117" t="s">
        <v>1315</v>
      </c>
      <c r="BF140" s="89" t="s">
        <v>1315</v>
      </c>
      <c r="BG140" s="89" t="s">
        <v>1315</v>
      </c>
      <c r="BH140" s="89">
        <v>6.5699999999999932</v>
      </c>
      <c r="BI140" s="89">
        <v>11.06666666666667</v>
      </c>
      <c r="BJ140" s="89" t="s">
        <v>1315</v>
      </c>
      <c r="BK140" s="89" t="s">
        <v>1315</v>
      </c>
      <c r="BL140" s="36" t="s">
        <v>999</v>
      </c>
    </row>
    <row r="141" spans="1:65" ht="15" customHeight="1" x14ac:dyDescent="0.3">
      <c r="C141" s="1">
        <v>433</v>
      </c>
      <c r="D141" s="6">
        <v>65889</v>
      </c>
      <c r="E141" s="6">
        <v>4889</v>
      </c>
      <c r="F141" s="10" t="s">
        <v>1579</v>
      </c>
      <c r="G141" s="8" t="s">
        <v>43</v>
      </c>
      <c r="H141" s="9">
        <v>40.200000000000003</v>
      </c>
      <c r="I141" s="9">
        <v>14.06</v>
      </c>
      <c r="J141" s="9" t="s">
        <v>1841</v>
      </c>
      <c r="K141" s="1" t="s">
        <v>1778</v>
      </c>
      <c r="L141" s="2">
        <v>2</v>
      </c>
      <c r="M141" s="2" t="s">
        <v>2061</v>
      </c>
      <c r="N141" s="1">
        <v>1</v>
      </c>
      <c r="O141" s="1">
        <v>1</v>
      </c>
      <c r="P141" s="1" t="s">
        <v>552</v>
      </c>
      <c r="Q141" s="10" t="s">
        <v>553</v>
      </c>
      <c r="R141" t="s">
        <v>2210</v>
      </c>
      <c r="S141" t="s">
        <v>2211</v>
      </c>
      <c r="T141">
        <v>89649566333</v>
      </c>
      <c r="U141" t="s">
        <v>2181</v>
      </c>
      <c r="V141" t="s">
        <v>2212</v>
      </c>
      <c r="W141">
        <v>9949331041</v>
      </c>
      <c r="X141" t="s">
        <v>2183</v>
      </c>
      <c r="Y141" t="s">
        <v>2118</v>
      </c>
      <c r="Z141" t="s">
        <v>2184</v>
      </c>
      <c r="AA141">
        <v>8</v>
      </c>
      <c r="AB141" s="6" t="s">
        <v>948</v>
      </c>
      <c r="AC141" s="2" t="s">
        <v>554</v>
      </c>
      <c r="AF141" s="153" t="s">
        <v>1688</v>
      </c>
      <c r="AI141" s="6">
        <v>2</v>
      </c>
      <c r="AJ141" s="137" t="str">
        <f ca="1">IF((WEEKDAY(TODAY(),2))=6,"10:00","09:00")</f>
        <v>09:00</v>
      </c>
      <c r="AK141" s="58">
        <v>0.54166666666666696</v>
      </c>
      <c r="AL141" s="58" t="str">
        <f t="shared" ca="1" si="17"/>
        <v>09:00 - 13:00</v>
      </c>
      <c r="AM141" s="151">
        <v>6</v>
      </c>
      <c r="AN141" s="95">
        <f t="shared" si="16"/>
        <v>347264</v>
      </c>
      <c r="AO141" s="94" t="b">
        <v>1</v>
      </c>
      <c r="AP141" s="34">
        <f t="shared" si="18"/>
        <v>1085.2</v>
      </c>
      <c r="AQ141" s="23">
        <f t="shared" si="19"/>
        <v>2</v>
      </c>
      <c r="AR141" s="35" t="s">
        <v>48</v>
      </c>
      <c r="AW141" s="63" t="str">
        <f t="shared" ca="1" si="20"/>
        <v>09:01:19</v>
      </c>
      <c r="AX141" s="152"/>
      <c r="AY141" s="160">
        <v>1</v>
      </c>
      <c r="AZ141" s="10"/>
      <c r="BA141" s="104" t="str">
        <f t="shared" si="21"/>
        <v>ЛЕСНОЙ-ГОРОДОК-МОЛОДЕЖНАЯ-7</v>
      </c>
      <c r="BB141" s="87">
        <f>AP141*3.5+10*60</f>
        <v>4398.2000000000007</v>
      </c>
      <c r="BD141" s="123"/>
      <c r="BE141" s="117" t="s">
        <v>1315</v>
      </c>
      <c r="BF141" s="89">
        <v>0.71666666666666856</v>
      </c>
      <c r="BG141" s="89" t="s">
        <v>1315</v>
      </c>
      <c r="BH141" s="89" t="s">
        <v>1315</v>
      </c>
      <c r="BI141" s="89" t="s">
        <v>1315</v>
      </c>
      <c r="BJ141" s="89" t="s">
        <v>1315</v>
      </c>
      <c r="BK141" s="89" t="s">
        <v>1315</v>
      </c>
      <c r="BL141" s="10" t="s">
        <v>551</v>
      </c>
    </row>
    <row r="142" spans="1:65" s="69" customFormat="1" ht="15" customHeight="1" x14ac:dyDescent="0.3">
      <c r="A142" s="1"/>
      <c r="B142" s="1"/>
      <c r="C142" s="1">
        <v>403</v>
      </c>
      <c r="D142" s="6">
        <v>949</v>
      </c>
      <c r="E142" s="6">
        <v>4949</v>
      </c>
      <c r="F142" s="37" t="s">
        <v>1422</v>
      </c>
      <c r="G142" s="8" t="s">
        <v>50</v>
      </c>
      <c r="H142" s="9">
        <v>55.08</v>
      </c>
      <c r="I142" s="9">
        <v>32.159999999999997</v>
      </c>
      <c r="J142" s="9" t="s">
        <v>1794</v>
      </c>
      <c r="K142" s="1" t="s">
        <v>1749</v>
      </c>
      <c r="L142" s="2">
        <v>2</v>
      </c>
      <c r="M142" s="2" t="s">
        <v>1954</v>
      </c>
      <c r="N142" s="1">
        <v>2</v>
      </c>
      <c r="O142" s="1">
        <v>1</v>
      </c>
      <c r="P142" s="1" t="s">
        <v>51</v>
      </c>
      <c r="Q142" s="10" t="s">
        <v>61</v>
      </c>
      <c r="R142" t="s">
        <v>2210</v>
      </c>
      <c r="S142" t="s">
        <v>2211</v>
      </c>
      <c r="T142">
        <v>89649566333</v>
      </c>
      <c r="U142" t="s">
        <v>2181</v>
      </c>
      <c r="V142" t="s">
        <v>2212</v>
      </c>
      <c r="W142">
        <v>9949331041</v>
      </c>
      <c r="X142" t="s">
        <v>2183</v>
      </c>
      <c r="Y142" t="s">
        <v>2118</v>
      </c>
      <c r="Z142" t="s">
        <v>2184</v>
      </c>
      <c r="AA142">
        <v>8</v>
      </c>
      <c r="AB142" s="6" t="s">
        <v>927</v>
      </c>
      <c r="AC142" s="2" t="s">
        <v>62</v>
      </c>
      <c r="AD142" s="48"/>
      <c r="AE142" s="48"/>
      <c r="AF142" s="167" t="s">
        <v>1688</v>
      </c>
      <c r="AG142" s="5"/>
      <c r="AH142" s="5"/>
      <c r="AI142" s="6">
        <v>2</v>
      </c>
      <c r="AJ142" s="13" t="s">
        <v>1329</v>
      </c>
      <c r="AK142" s="58">
        <v>0.54166666666666696</v>
      </c>
      <c r="AL142" s="58" t="str">
        <f t="shared" si="17"/>
        <v>09:30 - 13:00</v>
      </c>
      <c r="AM142" s="151">
        <v>6</v>
      </c>
      <c r="AN142" s="95">
        <f t="shared" si="16"/>
        <v>558335.99999999988</v>
      </c>
      <c r="AO142" s="94" t="b">
        <v>1</v>
      </c>
      <c r="AP142" s="34">
        <f t="shared" si="18"/>
        <v>1744.7999999999997</v>
      </c>
      <c r="AQ142" s="23">
        <f t="shared" si="19"/>
        <v>4</v>
      </c>
      <c r="AR142" s="35" t="s">
        <v>48</v>
      </c>
      <c r="AS142" s="1"/>
      <c r="AT142" s="1"/>
      <c r="AU142" s="44"/>
      <c r="AV142" s="1"/>
      <c r="AW142" s="63" t="str">
        <f t="shared" si="20"/>
        <v>12:19:36</v>
      </c>
      <c r="AX142" s="152"/>
      <c r="AY142" s="160">
        <v>1</v>
      </c>
      <c r="AZ142" s="10"/>
      <c r="BA142" s="104" t="str">
        <f t="shared" si="21"/>
        <v>БАРКЛАЯ-12</v>
      </c>
      <c r="BB142" s="85">
        <f>AP142*3.2+10*60</f>
        <v>6183.36</v>
      </c>
      <c r="BC142" s="110"/>
      <c r="BD142" s="123"/>
      <c r="BE142" s="117" t="s">
        <v>1315</v>
      </c>
      <c r="BF142" s="89" t="s">
        <v>1315</v>
      </c>
      <c r="BG142" s="89" t="s">
        <v>1315</v>
      </c>
      <c r="BH142" s="89" t="s">
        <v>1315</v>
      </c>
      <c r="BI142" s="89">
        <v>-81.73599999999999</v>
      </c>
      <c r="BJ142" s="89">
        <v>22.498666666666672</v>
      </c>
      <c r="BK142" s="89" t="s">
        <v>1315</v>
      </c>
      <c r="BL142" s="37" t="s">
        <v>60</v>
      </c>
      <c r="BM142" s="1"/>
    </row>
    <row r="143" spans="1:65" ht="15" customHeight="1" x14ac:dyDescent="0.3">
      <c r="C143" s="1">
        <v>196</v>
      </c>
      <c r="D143" s="6">
        <v>7245</v>
      </c>
      <c r="E143" s="6">
        <v>7019</v>
      </c>
      <c r="F143" s="1" t="s">
        <v>1494</v>
      </c>
      <c r="G143" s="8" t="s">
        <v>50</v>
      </c>
      <c r="H143" s="9">
        <v>45.92</v>
      </c>
      <c r="I143" s="9">
        <v>15.21</v>
      </c>
      <c r="J143" s="9" t="s">
        <v>1315</v>
      </c>
      <c r="K143" s="1" t="s">
        <v>1749</v>
      </c>
      <c r="L143" s="2" t="s">
        <v>44</v>
      </c>
      <c r="M143" s="2" t="s">
        <v>1952</v>
      </c>
      <c r="N143" s="1">
        <v>2</v>
      </c>
      <c r="O143" s="1">
        <v>2</v>
      </c>
      <c r="P143" s="1" t="s">
        <v>51</v>
      </c>
      <c r="Q143" s="10" t="s">
        <v>116</v>
      </c>
      <c r="R143" t="s">
        <v>2210</v>
      </c>
      <c r="S143" t="s">
        <v>2211</v>
      </c>
      <c r="T143">
        <v>89649566333</v>
      </c>
      <c r="U143" t="s">
        <v>2181</v>
      </c>
      <c r="V143" t="s">
        <v>2212</v>
      </c>
      <c r="W143">
        <v>9949331041</v>
      </c>
      <c r="X143" t="s">
        <v>2183</v>
      </c>
      <c r="Y143" t="s">
        <v>2118</v>
      </c>
      <c r="Z143" t="s">
        <v>2184</v>
      </c>
      <c r="AA143">
        <v>8</v>
      </c>
      <c r="AB143" s="6" t="s">
        <v>837</v>
      </c>
      <c r="AC143" s="2" t="s">
        <v>117</v>
      </c>
      <c r="AD143" s="48" t="s">
        <v>1163</v>
      </c>
      <c r="AE143" s="48" t="s">
        <v>1164</v>
      </c>
      <c r="AF143" s="167" t="s">
        <v>1672</v>
      </c>
      <c r="AI143" s="6">
        <v>2</v>
      </c>
      <c r="AJ143" s="13" t="s">
        <v>1329</v>
      </c>
      <c r="AK143" t="str">
        <f ca="1">IF((WEEKDAY(TODAY(),2))=4,"13:00","16:00")</f>
        <v>16:00</v>
      </c>
      <c r="AL143" s="58" t="str">
        <f t="shared" ca="1" si="17"/>
        <v>09:30 - 16:00</v>
      </c>
      <c r="AM143" s="151">
        <v>2</v>
      </c>
      <c r="AN143" s="95">
        <f t="shared" si="16"/>
        <v>391232.00000000006</v>
      </c>
      <c r="AO143" s="94" t="b">
        <v>1</v>
      </c>
      <c r="AP143" s="34">
        <f t="shared" si="18"/>
        <v>1222.6000000000001</v>
      </c>
      <c r="AQ143" s="23">
        <f t="shared" si="19"/>
        <v>3</v>
      </c>
      <c r="AR143" s="35" t="s">
        <v>48</v>
      </c>
      <c r="AW143" s="63" t="str">
        <f t="shared" si="20"/>
        <v>14:32:55</v>
      </c>
      <c r="AX143" s="172"/>
      <c r="AY143" s="160">
        <v>2</v>
      </c>
      <c r="AZ143" s="10"/>
      <c r="BA143" s="104" t="str">
        <f t="shared" si="21"/>
        <v>ЛЕНИНГРАДСКОЕ-ШОССЕ-8/2С1</v>
      </c>
      <c r="BB143" s="85">
        <f>AP143*3+10*60</f>
        <v>4267.8</v>
      </c>
      <c r="BD143" s="123"/>
      <c r="BE143" s="117" t="s">
        <v>1315</v>
      </c>
      <c r="BF143" s="89" t="s">
        <v>1315</v>
      </c>
      <c r="BG143" s="89" t="s">
        <v>1315</v>
      </c>
      <c r="BH143" s="89" t="s">
        <v>1315</v>
      </c>
      <c r="BI143" s="89">
        <v>-9.3166666666666558</v>
      </c>
      <c r="BJ143" s="89" t="s">
        <v>1315</v>
      </c>
      <c r="BK143" s="89" t="s">
        <v>1315</v>
      </c>
      <c r="BL143" s="1" t="s">
        <v>1325</v>
      </c>
    </row>
    <row r="144" spans="1:65" ht="15" customHeight="1" x14ac:dyDescent="0.3">
      <c r="C144" s="1">
        <v>578</v>
      </c>
      <c r="D144" s="6">
        <v>38</v>
      </c>
      <c r="E144" s="6">
        <v>7038</v>
      </c>
      <c r="F144" s="1" t="s">
        <v>1620</v>
      </c>
      <c r="G144" s="8" t="s">
        <v>50</v>
      </c>
      <c r="H144" s="9">
        <v>7.36</v>
      </c>
      <c r="I144" s="9">
        <v>8.41</v>
      </c>
      <c r="J144" s="9" t="s">
        <v>1814</v>
      </c>
      <c r="K144" s="1" t="s">
        <v>1765</v>
      </c>
      <c r="L144" s="2">
        <v>2</v>
      </c>
      <c r="M144" s="2" t="s">
        <v>1327</v>
      </c>
      <c r="N144" s="1">
        <v>1</v>
      </c>
      <c r="O144" s="1">
        <v>1</v>
      </c>
      <c r="P144" s="1" t="s">
        <v>51</v>
      </c>
      <c r="Q144" s="10" t="s">
        <v>648</v>
      </c>
      <c r="R144" t="s">
        <v>2213</v>
      </c>
      <c r="S144" t="s">
        <v>2214</v>
      </c>
      <c r="T144">
        <v>89855012040</v>
      </c>
      <c r="U144" t="s">
        <v>2181</v>
      </c>
      <c r="V144" t="s">
        <v>2215</v>
      </c>
      <c r="W144">
        <v>9955580520</v>
      </c>
      <c r="X144" t="s">
        <v>2216</v>
      </c>
      <c r="Y144" t="s">
        <v>2118</v>
      </c>
      <c r="Z144" t="s">
        <v>2184</v>
      </c>
      <c r="AA144">
        <v>8</v>
      </c>
      <c r="AB144" s="6" t="s">
        <v>1267</v>
      </c>
      <c r="AC144" s="2" t="s">
        <v>649</v>
      </c>
      <c r="AF144" s="14" t="s">
        <v>1678</v>
      </c>
      <c r="AG144" s="5" t="s">
        <v>28</v>
      </c>
      <c r="AH144" s="5">
        <v>100</v>
      </c>
      <c r="AI144" s="6">
        <v>2</v>
      </c>
      <c r="AJ144" s="13" t="s">
        <v>1327</v>
      </c>
      <c r="AK144" s="58">
        <v>0.41666666666666702</v>
      </c>
      <c r="AL144" s="58" t="str">
        <f t="shared" si="17"/>
        <v>08:30 - 10:00</v>
      </c>
      <c r="AM144" s="151"/>
      <c r="AN144" s="95">
        <f t="shared" si="16"/>
        <v>300000</v>
      </c>
      <c r="AO144" s="94" t="b">
        <v>1</v>
      </c>
      <c r="AP144" s="34">
        <f t="shared" si="18"/>
        <v>315.39999999999998</v>
      </c>
      <c r="AQ144" s="23">
        <f t="shared" si="19"/>
        <v>1</v>
      </c>
      <c r="AR144" s="35" t="s">
        <v>48</v>
      </c>
      <c r="AW144" s="63" t="str">
        <f t="shared" si="20"/>
        <v>08:30</v>
      </c>
      <c r="AX144" s="152"/>
      <c r="AY144" s="160">
        <v>2</v>
      </c>
      <c r="AZ144" s="10"/>
      <c r="BA144" s="104" t="str">
        <f t="shared" si="21"/>
        <v>СИВЦЕВ-ВРАЖЕК-ПЕР-6/2С1</v>
      </c>
      <c r="BB144" s="86">
        <f>AP144*4.2+10*60</f>
        <v>1924.68</v>
      </c>
      <c r="BD144" s="123"/>
      <c r="BE144" s="117" t="s">
        <v>1315</v>
      </c>
      <c r="BF144" s="89" t="s">
        <v>1315</v>
      </c>
      <c r="BG144" s="89" t="s">
        <v>1315</v>
      </c>
      <c r="BH144" s="89" t="s">
        <v>1315</v>
      </c>
      <c r="BI144" s="89" t="s">
        <v>1315</v>
      </c>
      <c r="BJ144" s="89" t="s">
        <v>1315</v>
      </c>
      <c r="BK144" s="89" t="s">
        <v>1315</v>
      </c>
      <c r="BL144" s="1" t="s">
        <v>647</v>
      </c>
    </row>
    <row r="145" spans="1:65" s="69" customFormat="1" ht="15" customHeight="1" x14ac:dyDescent="0.3">
      <c r="A145" s="1"/>
      <c r="B145" s="1"/>
      <c r="C145" s="1">
        <v>577</v>
      </c>
      <c r="D145" s="6">
        <v>835</v>
      </c>
      <c r="E145" s="6">
        <v>4835</v>
      </c>
      <c r="F145" s="10" t="s">
        <v>1454</v>
      </c>
      <c r="G145" s="8" t="s">
        <v>50</v>
      </c>
      <c r="H145" s="9">
        <v>32.64</v>
      </c>
      <c r="I145" s="9">
        <v>14.22</v>
      </c>
      <c r="J145" s="9" t="s">
        <v>1315</v>
      </c>
      <c r="K145" s="1" t="s">
        <v>1765</v>
      </c>
      <c r="L145" s="2"/>
      <c r="M145" s="2" t="s">
        <v>1329</v>
      </c>
      <c r="N145" s="1">
        <v>1</v>
      </c>
      <c r="O145" s="1">
        <v>2</v>
      </c>
      <c r="P145" s="1" t="s">
        <v>51</v>
      </c>
      <c r="Q145" s="10" t="s">
        <v>645</v>
      </c>
      <c r="R145" t="s">
        <v>2213</v>
      </c>
      <c r="S145" t="s">
        <v>2214</v>
      </c>
      <c r="T145">
        <v>89855012040</v>
      </c>
      <c r="U145" t="s">
        <v>2181</v>
      </c>
      <c r="V145" t="s">
        <v>2215</v>
      </c>
      <c r="W145">
        <v>9955580520</v>
      </c>
      <c r="X145" t="s">
        <v>2216</v>
      </c>
      <c r="Y145" t="s">
        <v>2118</v>
      </c>
      <c r="Z145" t="s">
        <v>2184</v>
      </c>
      <c r="AA145">
        <v>8</v>
      </c>
      <c r="AB145" s="6" t="s">
        <v>1263</v>
      </c>
      <c r="AC145" s="2" t="s">
        <v>646</v>
      </c>
      <c r="AD145" s="48"/>
      <c r="AE145" s="48"/>
      <c r="AF145" s="14" t="s">
        <v>732</v>
      </c>
      <c r="AG145" s="5" t="s">
        <v>28</v>
      </c>
      <c r="AH145" s="5">
        <v>100</v>
      </c>
      <c r="AI145" s="6">
        <v>2</v>
      </c>
      <c r="AJ145" s="13" t="s">
        <v>1329</v>
      </c>
      <c r="AK145" s="58">
        <v>0.5</v>
      </c>
      <c r="AL145" s="58" t="str">
        <f t="shared" si="17"/>
        <v>09:30 - 12:00</v>
      </c>
      <c r="AM145" s="151"/>
      <c r="AN145" s="95">
        <f t="shared" si="16"/>
        <v>300000</v>
      </c>
      <c r="AO145" s="94" t="b">
        <v>1</v>
      </c>
      <c r="AP145" s="34">
        <f t="shared" si="18"/>
        <v>937.2</v>
      </c>
      <c r="AQ145" s="23">
        <f t="shared" si="19"/>
        <v>2</v>
      </c>
      <c r="AR145" s="35" t="s">
        <v>48</v>
      </c>
      <c r="AS145" s="1"/>
      <c r="AT145" s="1"/>
      <c r="AU145" s="44"/>
      <c r="AV145" s="1"/>
      <c r="AW145" s="63" t="str">
        <f t="shared" si="20"/>
        <v>09:30</v>
      </c>
      <c r="AX145" s="152"/>
      <c r="AY145" s="160">
        <v>1</v>
      </c>
      <c r="AZ145" s="10"/>
      <c r="BA145" s="104" t="str">
        <f t="shared" si="21"/>
        <v>СТАРОКОНЮШЕННЫЙ-45</v>
      </c>
      <c r="BB145" s="86">
        <f>AP145*4.2+10*60</f>
        <v>4536.24</v>
      </c>
      <c r="BC145" s="110"/>
      <c r="BD145" s="123"/>
      <c r="BE145" s="117">
        <v>-23.323333333333334</v>
      </c>
      <c r="BF145" s="89" t="s">
        <v>1315</v>
      </c>
      <c r="BG145" s="89" t="s">
        <v>1315</v>
      </c>
      <c r="BH145" s="89" t="s">
        <v>1315</v>
      </c>
      <c r="BI145" s="89" t="s">
        <v>1315</v>
      </c>
      <c r="BJ145" s="89" t="s">
        <v>1315</v>
      </c>
      <c r="BK145" s="89" t="s">
        <v>1315</v>
      </c>
      <c r="BL145" s="10" t="s">
        <v>644</v>
      </c>
      <c r="BM145" s="1"/>
    </row>
    <row r="146" spans="1:65" ht="15" customHeight="1" x14ac:dyDescent="0.3">
      <c r="C146" s="1">
        <v>576</v>
      </c>
      <c r="D146" s="6">
        <v>878</v>
      </c>
      <c r="E146" s="6">
        <v>4878</v>
      </c>
      <c r="F146" s="10" t="s">
        <v>1619</v>
      </c>
      <c r="G146" s="8" t="s">
        <v>50</v>
      </c>
      <c r="H146" s="9">
        <v>42.58</v>
      </c>
      <c r="I146" s="9">
        <v>19.89</v>
      </c>
      <c r="J146" s="9" t="s">
        <v>1315</v>
      </c>
      <c r="K146" s="1" t="s">
        <v>1765</v>
      </c>
      <c r="M146" s="2" t="s">
        <v>2006</v>
      </c>
      <c r="N146" s="1">
        <v>1</v>
      </c>
      <c r="O146" s="1">
        <v>3</v>
      </c>
      <c r="P146" s="1" t="s">
        <v>51</v>
      </c>
      <c r="Q146" s="10" t="s">
        <v>642</v>
      </c>
      <c r="R146" t="s">
        <v>2213</v>
      </c>
      <c r="S146" t="s">
        <v>2214</v>
      </c>
      <c r="T146">
        <v>89855012040</v>
      </c>
      <c r="U146" t="s">
        <v>2181</v>
      </c>
      <c r="V146" t="s">
        <v>2215</v>
      </c>
      <c r="W146">
        <v>9955580520</v>
      </c>
      <c r="X146" t="s">
        <v>2216</v>
      </c>
      <c r="Y146" t="s">
        <v>2118</v>
      </c>
      <c r="Z146" t="s">
        <v>2184</v>
      </c>
      <c r="AA146">
        <v>8</v>
      </c>
      <c r="AB146" s="6" t="s">
        <v>1262</v>
      </c>
      <c r="AC146" s="2" t="s">
        <v>643</v>
      </c>
      <c r="AF146" s="14" t="s">
        <v>732</v>
      </c>
      <c r="AG146" s="5" t="s">
        <v>28</v>
      </c>
      <c r="AH146" s="5">
        <v>100</v>
      </c>
      <c r="AI146" s="6">
        <v>2</v>
      </c>
      <c r="AJ146" s="13" t="s">
        <v>1329</v>
      </c>
      <c r="AK146" s="58">
        <v>0.5</v>
      </c>
      <c r="AL146" s="58" t="str">
        <f t="shared" si="17"/>
        <v>09:30 - 12:00</v>
      </c>
      <c r="AM146" s="151"/>
      <c r="AN146" s="95">
        <f t="shared" si="16"/>
        <v>399807.99999999994</v>
      </c>
      <c r="AO146" s="94" t="b">
        <v>1</v>
      </c>
      <c r="AP146" s="34">
        <f t="shared" si="18"/>
        <v>1249.3999999999999</v>
      </c>
      <c r="AQ146" s="23">
        <f t="shared" si="19"/>
        <v>3</v>
      </c>
      <c r="AR146" s="35" t="s">
        <v>48</v>
      </c>
      <c r="AW146" s="63" t="str">
        <f t="shared" si="20"/>
        <v>10:50:57</v>
      </c>
      <c r="AX146" s="152"/>
      <c r="AY146" s="160">
        <v>2</v>
      </c>
      <c r="AZ146" s="10"/>
      <c r="BA146" s="104" t="str">
        <f t="shared" si="21"/>
        <v>ОСТОЖЕНКА-30К1</v>
      </c>
      <c r="BB146" s="70">
        <f>AP146*4.1+10*60</f>
        <v>5722.5399999999991</v>
      </c>
      <c r="BD146" s="123"/>
      <c r="BE146" s="117" t="s">
        <v>1315</v>
      </c>
      <c r="BF146" s="89" t="s">
        <v>1315</v>
      </c>
      <c r="BG146" s="89" t="s">
        <v>1315</v>
      </c>
      <c r="BH146" s="89" t="s">
        <v>1315</v>
      </c>
      <c r="BI146" s="89" t="s">
        <v>1315</v>
      </c>
      <c r="BJ146" s="89" t="s">
        <v>1315</v>
      </c>
      <c r="BK146" s="89" t="s">
        <v>1315</v>
      </c>
      <c r="BL146" s="10" t="s">
        <v>641</v>
      </c>
    </row>
    <row r="147" spans="1:65" ht="15" customHeight="1" x14ac:dyDescent="0.3">
      <c r="C147" s="1">
        <v>571</v>
      </c>
      <c r="D147" s="6">
        <v>715</v>
      </c>
      <c r="E147" s="6">
        <v>4715</v>
      </c>
      <c r="F147" s="1" t="s">
        <v>1616</v>
      </c>
      <c r="G147" s="8" t="s">
        <v>50</v>
      </c>
      <c r="H147" s="9">
        <v>18.55</v>
      </c>
      <c r="I147" s="9">
        <v>6.34</v>
      </c>
      <c r="J147" s="9" t="s">
        <v>1315</v>
      </c>
      <c r="K147" s="1" t="s">
        <v>1765</v>
      </c>
      <c r="M147" s="2" t="s">
        <v>2043</v>
      </c>
      <c r="N147" s="1">
        <v>1</v>
      </c>
      <c r="O147" s="1">
        <v>4</v>
      </c>
      <c r="P147" s="1" t="s">
        <v>51</v>
      </c>
      <c r="Q147" s="1" t="s">
        <v>1204</v>
      </c>
      <c r="R147" t="s">
        <v>2213</v>
      </c>
      <c r="S147" t="s">
        <v>2214</v>
      </c>
      <c r="T147">
        <v>89855012040</v>
      </c>
      <c r="U147" t="s">
        <v>2181</v>
      </c>
      <c r="V147" t="s">
        <v>2215</v>
      </c>
      <c r="W147">
        <v>9955580520</v>
      </c>
      <c r="X147" t="s">
        <v>2216</v>
      </c>
      <c r="Y147" t="s">
        <v>2118</v>
      </c>
      <c r="Z147" t="s">
        <v>2184</v>
      </c>
      <c r="AA147">
        <v>8</v>
      </c>
      <c r="AB147" s="6" t="s">
        <v>1253</v>
      </c>
      <c r="AC147" s="2" t="s">
        <v>637</v>
      </c>
      <c r="AF147" s="14" t="s">
        <v>732</v>
      </c>
      <c r="AG147" s="5" t="s">
        <v>28</v>
      </c>
      <c r="AH147" s="5">
        <v>100</v>
      </c>
      <c r="AI147" s="6">
        <v>2</v>
      </c>
      <c r="AJ147" s="13" t="s">
        <v>1329</v>
      </c>
      <c r="AK147" s="58">
        <v>0.54166666666666696</v>
      </c>
      <c r="AL147" s="58" t="str">
        <f t="shared" si="17"/>
        <v>09:30 - 13:00</v>
      </c>
      <c r="AM147" s="151"/>
      <c r="AN147" s="95">
        <f t="shared" si="16"/>
        <v>300000</v>
      </c>
      <c r="AO147" s="94" t="b">
        <v>1</v>
      </c>
      <c r="AP147" s="34">
        <f t="shared" si="18"/>
        <v>497.8</v>
      </c>
      <c r="AQ147" s="23">
        <f t="shared" si="19"/>
        <v>1</v>
      </c>
      <c r="AR147" s="35" t="s">
        <v>48</v>
      </c>
      <c r="AW147" s="63" t="str">
        <f t="shared" si="20"/>
        <v>12:38:33</v>
      </c>
      <c r="AX147" s="152"/>
      <c r="AY147" s="160">
        <v>1</v>
      </c>
      <c r="AZ147" s="10"/>
      <c r="BA147" s="104" t="str">
        <f t="shared" si="21"/>
        <v>НОВЫЙ-АРБАТ-31К12</v>
      </c>
      <c r="BB147" s="70">
        <f>AP147*4.1+10*60</f>
        <v>2640.9799999999996</v>
      </c>
      <c r="BD147" s="123"/>
      <c r="BE147" s="117" t="s">
        <v>1315</v>
      </c>
      <c r="BF147" s="89" t="s">
        <v>1315</v>
      </c>
      <c r="BG147" s="89">
        <v>-26.914999999999988</v>
      </c>
      <c r="BH147" s="89" t="s">
        <v>1315</v>
      </c>
      <c r="BI147" s="89" t="s">
        <v>1315</v>
      </c>
      <c r="BJ147" s="89" t="s">
        <v>1315</v>
      </c>
      <c r="BK147" s="89" t="s">
        <v>1315</v>
      </c>
      <c r="BL147" s="1" t="s">
        <v>636</v>
      </c>
    </row>
    <row r="148" spans="1:65" ht="15" customHeight="1" x14ac:dyDescent="0.3">
      <c r="C148" s="1">
        <v>450</v>
      </c>
      <c r="D148" s="6">
        <v>7150</v>
      </c>
      <c r="E148" s="6">
        <v>4150</v>
      </c>
      <c r="F148" s="40" t="s">
        <v>1583</v>
      </c>
      <c r="G148" s="8" t="s">
        <v>50</v>
      </c>
      <c r="H148" s="9">
        <v>58.53</v>
      </c>
      <c r="I148" s="9">
        <v>12.7</v>
      </c>
      <c r="J148" s="9" t="s">
        <v>1817</v>
      </c>
      <c r="K148" s="1" t="s">
        <v>1750</v>
      </c>
      <c r="M148" s="2" t="s">
        <v>1326</v>
      </c>
      <c r="N148" s="1">
        <v>1</v>
      </c>
      <c r="O148" s="1">
        <v>1</v>
      </c>
      <c r="P148" s="1" t="s">
        <v>51</v>
      </c>
      <c r="Q148" s="10" t="s">
        <v>1127</v>
      </c>
      <c r="R148" t="s">
        <v>2217</v>
      </c>
      <c r="S148" t="s">
        <v>2218</v>
      </c>
      <c r="T148">
        <v>89774942227</v>
      </c>
      <c r="U148" t="s">
        <v>2181</v>
      </c>
      <c r="V148" t="s">
        <v>2219</v>
      </c>
      <c r="W148">
        <v>9949331136</v>
      </c>
      <c r="X148" t="s">
        <v>2183</v>
      </c>
      <c r="Y148" t="s">
        <v>2118</v>
      </c>
      <c r="Z148" t="s">
        <v>2184</v>
      </c>
      <c r="AA148">
        <v>8</v>
      </c>
      <c r="AB148" s="6" t="s">
        <v>963</v>
      </c>
      <c r="AC148" s="10" t="s">
        <v>1128</v>
      </c>
      <c r="AF148" s="167" t="s">
        <v>1672</v>
      </c>
      <c r="AI148" s="6">
        <v>2</v>
      </c>
      <c r="AJ148" s="13" t="s">
        <v>1326</v>
      </c>
      <c r="AK148" s="58">
        <v>0.45833333333333331</v>
      </c>
      <c r="AL148" s="58" t="str">
        <f t="shared" si="17"/>
        <v>08:00 - 11:00</v>
      </c>
      <c r="AM148" s="151">
        <v>6</v>
      </c>
      <c r="AN148" s="95">
        <f t="shared" si="16"/>
        <v>455872</v>
      </c>
      <c r="AO148" s="94" t="b">
        <v>1</v>
      </c>
      <c r="AP148" s="34">
        <f t="shared" si="18"/>
        <v>1424.6</v>
      </c>
      <c r="AQ148" s="23">
        <f t="shared" si="19"/>
        <v>3</v>
      </c>
      <c r="AR148" s="35" t="s">
        <v>48</v>
      </c>
      <c r="AW148" s="63" t="str">
        <f t="shared" si="20"/>
        <v>08:00</v>
      </c>
      <c r="AX148" s="152"/>
      <c r="AY148" s="160">
        <v>2</v>
      </c>
      <c r="AZ148" s="10"/>
      <c r="BA148" s="104" t="str">
        <f t="shared" si="21"/>
        <v>ОЗЕРНАЯ-44</v>
      </c>
      <c r="BB148" s="87">
        <f>AP148*3.5+10*60</f>
        <v>5586.0999999999995</v>
      </c>
      <c r="BD148" s="123"/>
      <c r="BE148" s="117" t="s">
        <v>1315</v>
      </c>
      <c r="BF148" s="89" t="s">
        <v>1315</v>
      </c>
      <c r="BG148" s="89" t="s">
        <v>1315</v>
      </c>
      <c r="BH148" s="89" t="s">
        <v>1315</v>
      </c>
      <c r="BI148" s="89">
        <v>40.556666666666665</v>
      </c>
      <c r="BJ148" s="89" t="s">
        <v>1315</v>
      </c>
      <c r="BK148" s="89" t="s">
        <v>1315</v>
      </c>
      <c r="BL148" s="40" t="s">
        <v>1129</v>
      </c>
    </row>
    <row r="149" spans="1:65" ht="15" customHeight="1" x14ac:dyDescent="0.3">
      <c r="C149" s="1">
        <v>458</v>
      </c>
      <c r="D149" s="6">
        <v>7106</v>
      </c>
      <c r="E149" s="6">
        <v>4106</v>
      </c>
      <c r="F149" s="40" t="s">
        <v>1584</v>
      </c>
      <c r="G149" s="8" t="s">
        <v>50</v>
      </c>
      <c r="H149" s="9">
        <v>29.570000000000004</v>
      </c>
      <c r="I149" s="9">
        <v>11.66</v>
      </c>
      <c r="J149" s="9" t="s">
        <v>1315</v>
      </c>
      <c r="K149" s="1" t="s">
        <v>1750</v>
      </c>
      <c r="M149" s="2" t="s">
        <v>1955</v>
      </c>
      <c r="N149" s="1">
        <v>1</v>
      </c>
      <c r="O149" s="1">
        <v>2</v>
      </c>
      <c r="P149" s="1" t="s">
        <v>51</v>
      </c>
      <c r="Q149" s="10" t="s">
        <v>1228</v>
      </c>
      <c r="R149" t="s">
        <v>2217</v>
      </c>
      <c r="S149" t="s">
        <v>2218</v>
      </c>
      <c r="T149">
        <v>89774942227</v>
      </c>
      <c r="U149" t="s">
        <v>2181</v>
      </c>
      <c r="V149" t="s">
        <v>2219</v>
      </c>
      <c r="W149">
        <v>9949331136</v>
      </c>
      <c r="X149" t="s">
        <v>2183</v>
      </c>
      <c r="Y149" t="s">
        <v>2118</v>
      </c>
      <c r="Z149" t="s">
        <v>2184</v>
      </c>
      <c r="AA149">
        <v>8</v>
      </c>
      <c r="AB149" s="6" t="s">
        <v>974</v>
      </c>
      <c r="AC149" s="10" t="s">
        <v>1058</v>
      </c>
      <c r="AF149" s="153" t="s">
        <v>1672</v>
      </c>
      <c r="AH149" s="24"/>
      <c r="AI149" s="6">
        <v>2</v>
      </c>
      <c r="AJ149" s="13" t="s">
        <v>1329</v>
      </c>
      <c r="AK149" s="58">
        <v>0.54166666666666696</v>
      </c>
      <c r="AL149" s="58" t="str">
        <f t="shared" si="17"/>
        <v>09:30 - 13:00</v>
      </c>
      <c r="AM149" s="151">
        <v>6</v>
      </c>
      <c r="AN149" s="95">
        <f t="shared" si="16"/>
        <v>300000</v>
      </c>
      <c r="AO149" s="94" t="b">
        <v>1</v>
      </c>
      <c r="AP149" s="34">
        <f t="shared" si="18"/>
        <v>824.60000000000014</v>
      </c>
      <c r="AQ149" s="23">
        <f t="shared" si="19"/>
        <v>2</v>
      </c>
      <c r="AR149" s="35" t="s">
        <v>48</v>
      </c>
      <c r="AW149" s="63" t="str">
        <f t="shared" si="20"/>
        <v>09:59:34</v>
      </c>
      <c r="AX149" s="152"/>
      <c r="AY149" s="160">
        <v>1</v>
      </c>
      <c r="AZ149" s="10"/>
      <c r="BA149" s="104" t="str">
        <f t="shared" si="21"/>
        <v>ВНУКОВСКОЕ-Б-ПАСТЕРНАКА-6</v>
      </c>
      <c r="BB149" s="87">
        <f>AP149*3.5+10*60</f>
        <v>3486.1000000000004</v>
      </c>
      <c r="BD149" s="123"/>
      <c r="BE149" s="117">
        <v>15.06666666666667</v>
      </c>
      <c r="BF149" s="89" t="s">
        <v>1315</v>
      </c>
      <c r="BG149" s="89">
        <v>-36.323333333333338</v>
      </c>
      <c r="BH149" s="89" t="s">
        <v>1315</v>
      </c>
      <c r="BI149" s="89" t="s">
        <v>1315</v>
      </c>
      <c r="BJ149" s="89">
        <v>-7.0750000000000028</v>
      </c>
      <c r="BK149" s="89" t="s">
        <v>1315</v>
      </c>
      <c r="BL149" s="40" t="s">
        <v>1057</v>
      </c>
    </row>
    <row r="150" spans="1:65" ht="15" customHeight="1" x14ac:dyDescent="0.3">
      <c r="C150" s="1">
        <v>92</v>
      </c>
      <c r="D150" s="6">
        <v>606</v>
      </c>
      <c r="E150" s="6">
        <v>7606</v>
      </c>
      <c r="F150" s="1" t="s">
        <v>1404</v>
      </c>
      <c r="G150" s="8" t="s">
        <v>50</v>
      </c>
      <c r="H150" s="9">
        <v>50.1</v>
      </c>
      <c r="I150" s="9">
        <v>13.56</v>
      </c>
      <c r="J150" s="9" t="s">
        <v>1799</v>
      </c>
      <c r="K150" s="1" t="s">
        <v>1726</v>
      </c>
      <c r="M150" s="2" t="s">
        <v>1965</v>
      </c>
      <c r="N150" s="1">
        <v>2</v>
      </c>
      <c r="O150" s="1">
        <v>1</v>
      </c>
      <c r="P150" s="1" t="s">
        <v>51</v>
      </c>
      <c r="Q150" s="10" t="s">
        <v>295</v>
      </c>
      <c r="R150" t="s">
        <v>2217</v>
      </c>
      <c r="S150" t="s">
        <v>2218</v>
      </c>
      <c r="T150">
        <v>89774942227</v>
      </c>
      <c r="U150" t="s">
        <v>2181</v>
      </c>
      <c r="V150" t="s">
        <v>2219</v>
      </c>
      <c r="W150">
        <v>9949331136</v>
      </c>
      <c r="X150" t="s">
        <v>2183</v>
      </c>
      <c r="Y150" t="s">
        <v>2118</v>
      </c>
      <c r="Z150" t="s">
        <v>2184</v>
      </c>
      <c r="AA150">
        <v>8</v>
      </c>
      <c r="AB150" s="6" t="s">
        <v>783</v>
      </c>
      <c r="AC150" s="2" t="s">
        <v>296</v>
      </c>
      <c r="AF150" s="153" t="s">
        <v>1672</v>
      </c>
      <c r="AI150" s="6">
        <v>2</v>
      </c>
      <c r="AJ150" s="13" t="s">
        <v>1328</v>
      </c>
      <c r="AK150" s="58">
        <v>0.54166666666666696</v>
      </c>
      <c r="AL150" s="58" t="str">
        <f t="shared" si="17"/>
        <v>09:00 - 13:00</v>
      </c>
      <c r="AM150" s="151">
        <v>5</v>
      </c>
      <c r="AN150" s="95">
        <f t="shared" si="16"/>
        <v>407424</v>
      </c>
      <c r="AO150" s="94" t="b">
        <v>1</v>
      </c>
      <c r="AP150" s="34">
        <f t="shared" si="18"/>
        <v>1273.2</v>
      </c>
      <c r="AQ150" s="23">
        <f t="shared" si="19"/>
        <v>3</v>
      </c>
      <c r="AR150" s="35" t="s">
        <v>48</v>
      </c>
      <c r="AU150" s="46"/>
      <c r="AW150" s="63" t="str">
        <f t="shared" si="20"/>
        <v>12:47:23</v>
      </c>
      <c r="AX150" s="152"/>
      <c r="AY150" s="160">
        <v>1</v>
      </c>
      <c r="AZ150" s="10"/>
      <c r="BA150" s="104" t="str">
        <f t="shared" si="21"/>
        <v>УНИВЕРСИТЕТСКИЙ-ПР-Т-23К1</v>
      </c>
      <c r="BB150" s="85">
        <f>AP150*3+10*60</f>
        <v>4419.6000000000004</v>
      </c>
      <c r="BD150" s="123"/>
      <c r="BE150" s="117" t="s">
        <v>1315</v>
      </c>
      <c r="BF150" s="89" t="s">
        <v>1315</v>
      </c>
      <c r="BG150" s="89">
        <v>-3.9199999999999875</v>
      </c>
      <c r="BH150" s="89">
        <v>7.3566666666666691</v>
      </c>
      <c r="BI150" s="89" t="s">
        <v>1315</v>
      </c>
      <c r="BJ150" s="89">
        <v>-15.489999999999995</v>
      </c>
      <c r="BK150" s="89" t="s">
        <v>1315</v>
      </c>
      <c r="BL150" s="1" t="s">
        <v>294</v>
      </c>
    </row>
    <row r="151" spans="1:65" ht="15" customHeight="1" x14ac:dyDescent="0.3">
      <c r="C151" s="1">
        <v>100</v>
      </c>
      <c r="D151" s="6">
        <v>694</v>
      </c>
      <c r="E151" s="6">
        <v>7694</v>
      </c>
      <c r="F151" s="1" t="s">
        <v>1464</v>
      </c>
      <c r="G151" s="8" t="s">
        <v>50</v>
      </c>
      <c r="H151" s="9">
        <v>29.830000000000002</v>
      </c>
      <c r="I151" s="9">
        <v>6.27</v>
      </c>
      <c r="J151" s="9" t="s">
        <v>1315</v>
      </c>
      <c r="K151" s="1" t="s">
        <v>1726</v>
      </c>
      <c r="M151" s="2" t="s">
        <v>1928</v>
      </c>
      <c r="N151" s="1">
        <v>2</v>
      </c>
      <c r="O151" s="1">
        <v>2</v>
      </c>
      <c r="P151" s="1" t="s">
        <v>51</v>
      </c>
      <c r="Q151" s="1" t="s">
        <v>1196</v>
      </c>
      <c r="R151" t="s">
        <v>2217</v>
      </c>
      <c r="S151" t="s">
        <v>2218</v>
      </c>
      <c r="T151">
        <v>89774942227</v>
      </c>
      <c r="U151" t="s">
        <v>2181</v>
      </c>
      <c r="V151" t="s">
        <v>2219</v>
      </c>
      <c r="W151">
        <v>9949331136</v>
      </c>
      <c r="X151" t="s">
        <v>2183</v>
      </c>
      <c r="Y151" t="s">
        <v>2118</v>
      </c>
      <c r="Z151" t="s">
        <v>2184</v>
      </c>
      <c r="AA151">
        <v>8</v>
      </c>
      <c r="AB151" s="6" t="s">
        <v>787</v>
      </c>
      <c r="AC151" s="2" t="s">
        <v>82</v>
      </c>
      <c r="AF151" s="14" t="s">
        <v>732</v>
      </c>
      <c r="AI151" s="6">
        <v>2</v>
      </c>
      <c r="AJ151" s="13" t="s">
        <v>1329</v>
      </c>
      <c r="AK151" s="162">
        <v>0.75</v>
      </c>
      <c r="AL151" s="58" t="str">
        <f t="shared" si="17"/>
        <v>09:30 - 18:00</v>
      </c>
      <c r="AM151" s="151">
        <v>5</v>
      </c>
      <c r="AN151" s="95">
        <f t="shared" si="16"/>
        <v>300000</v>
      </c>
      <c r="AO151" s="94" t="b">
        <v>1</v>
      </c>
      <c r="AP151" s="34">
        <f t="shared" si="18"/>
        <v>722</v>
      </c>
      <c r="AQ151" s="23">
        <f t="shared" si="19"/>
        <v>2</v>
      </c>
      <c r="AR151" s="35" t="s">
        <v>48</v>
      </c>
      <c r="AU151" s="46"/>
      <c r="AW151" s="63" t="str">
        <f t="shared" si="20"/>
        <v>14:14:33</v>
      </c>
      <c r="AX151" s="152"/>
      <c r="AY151" s="160">
        <v>3</v>
      </c>
      <c r="AZ151" s="10"/>
      <c r="BA151" s="104" t="str">
        <f t="shared" si="21"/>
        <v>ЛЕНИНСКИЙ-ПР-Т-41К2</v>
      </c>
      <c r="BB151" s="85">
        <f>AP151*3.5+10*60</f>
        <v>3127</v>
      </c>
      <c r="BD151" s="123"/>
      <c r="BE151" s="117" t="s">
        <v>1315</v>
      </c>
      <c r="BF151" s="89" t="s">
        <v>1315</v>
      </c>
      <c r="BG151" s="89" t="s">
        <v>1315</v>
      </c>
      <c r="BH151" s="89" t="s">
        <v>1315</v>
      </c>
      <c r="BI151" s="89" t="s">
        <v>1315</v>
      </c>
      <c r="BJ151" s="89" t="s">
        <v>1315</v>
      </c>
      <c r="BK151" s="89" t="s">
        <v>1315</v>
      </c>
      <c r="BL151" s="1" t="s">
        <v>81</v>
      </c>
    </row>
    <row r="152" spans="1:65" ht="15" customHeight="1" x14ac:dyDescent="0.3">
      <c r="C152" s="1">
        <v>110</v>
      </c>
      <c r="D152" s="6">
        <v>7035</v>
      </c>
      <c r="E152" s="6">
        <v>4035</v>
      </c>
      <c r="F152" s="36" t="s">
        <v>1466</v>
      </c>
      <c r="G152" s="8" t="s">
        <v>50</v>
      </c>
      <c r="H152" s="9">
        <v>29.07</v>
      </c>
      <c r="I152" s="9">
        <v>14.62</v>
      </c>
      <c r="J152" s="9" t="s">
        <v>1315</v>
      </c>
      <c r="K152" s="1" t="s">
        <v>1726</v>
      </c>
      <c r="M152" s="2" t="s">
        <v>1899</v>
      </c>
      <c r="N152" s="1">
        <v>2</v>
      </c>
      <c r="O152" s="1">
        <v>3</v>
      </c>
      <c r="P152" s="1" t="s">
        <v>51</v>
      </c>
      <c r="Q152" s="10" t="s">
        <v>304</v>
      </c>
      <c r="R152" t="s">
        <v>2217</v>
      </c>
      <c r="S152" t="s">
        <v>2218</v>
      </c>
      <c r="T152">
        <v>89774942227</v>
      </c>
      <c r="U152" t="s">
        <v>2181</v>
      </c>
      <c r="V152" t="s">
        <v>2219</v>
      </c>
      <c r="W152">
        <v>9949331136</v>
      </c>
      <c r="X152" t="s">
        <v>2183</v>
      </c>
      <c r="Y152" t="s">
        <v>2118</v>
      </c>
      <c r="Z152" t="s">
        <v>2184</v>
      </c>
      <c r="AA152">
        <v>8</v>
      </c>
      <c r="AB152" s="6" t="s">
        <v>793</v>
      </c>
      <c r="AC152" s="10" t="s">
        <v>305</v>
      </c>
      <c r="AF152" s="53" t="s">
        <v>1672</v>
      </c>
      <c r="AH152" s="24"/>
      <c r="AI152" s="6">
        <v>2</v>
      </c>
      <c r="AJ152" s="129" t="str">
        <f ca="1">IF((WEEKDAY(TODAY(),2))=6,"10:00","09:30")</f>
        <v>09:30</v>
      </c>
      <c r="AK152" s="162">
        <v>0.75</v>
      </c>
      <c r="AL152" s="58" t="str">
        <f t="shared" ca="1" si="17"/>
        <v>09:30 - 18:00</v>
      </c>
      <c r="AM152" s="151">
        <v>5</v>
      </c>
      <c r="AN152" s="95">
        <f t="shared" si="16"/>
        <v>300000</v>
      </c>
      <c r="AO152" s="94" t="b">
        <v>1</v>
      </c>
      <c r="AP152" s="34">
        <f t="shared" si="18"/>
        <v>873.8</v>
      </c>
      <c r="AQ152" s="23">
        <f t="shared" si="19"/>
        <v>2</v>
      </c>
      <c r="AR152" s="35" t="s">
        <v>48</v>
      </c>
      <c r="AT152" s="10"/>
      <c r="AU152" s="46"/>
      <c r="AW152" s="63" t="str">
        <f t="shared" ca="1" si="20"/>
        <v>15:25:07</v>
      </c>
      <c r="AX152" s="152"/>
      <c r="AY152" s="160">
        <v>3</v>
      </c>
      <c r="AZ152" s="10"/>
      <c r="BA152" s="104" t="str">
        <f t="shared" si="21"/>
        <v>СЕВАСТОПОЛЬСКИЙ-ПР-Т-22</v>
      </c>
      <c r="BB152" s="91">
        <f>AP152*4+10*60</f>
        <v>4095.2</v>
      </c>
      <c r="BD152" s="123"/>
      <c r="BE152" s="117" t="s">
        <v>1315</v>
      </c>
      <c r="BF152" s="89" t="s">
        <v>1315</v>
      </c>
      <c r="BG152" s="89">
        <v>-15.223333333333333</v>
      </c>
      <c r="BH152" s="89">
        <v>-16.04</v>
      </c>
      <c r="BI152" s="89" t="s">
        <v>1315</v>
      </c>
      <c r="BJ152" s="89" t="s">
        <v>1315</v>
      </c>
      <c r="BK152" s="89" t="s">
        <v>1315</v>
      </c>
      <c r="BL152" s="36" t="s">
        <v>303</v>
      </c>
    </row>
    <row r="153" spans="1:65" ht="15" customHeight="1" x14ac:dyDescent="0.3">
      <c r="C153" s="1">
        <v>497</v>
      </c>
      <c r="D153" s="6">
        <v>893</v>
      </c>
      <c r="E153" s="6">
        <v>4893</v>
      </c>
      <c r="F153" s="10" t="s">
        <v>1450</v>
      </c>
      <c r="G153" s="8" t="s">
        <v>50</v>
      </c>
      <c r="H153" s="9">
        <v>8.64</v>
      </c>
      <c r="I153" s="9">
        <v>2.63</v>
      </c>
      <c r="J153" s="9" t="s">
        <v>1828</v>
      </c>
      <c r="K153" s="1" t="s">
        <v>1743</v>
      </c>
      <c r="L153" s="2">
        <v>2</v>
      </c>
      <c r="M153" s="2" t="s">
        <v>2030</v>
      </c>
      <c r="N153" s="1">
        <v>1</v>
      </c>
      <c r="O153" s="1">
        <v>1</v>
      </c>
      <c r="P153" s="1" t="s">
        <v>51</v>
      </c>
      <c r="Q153" s="1" t="s">
        <v>578</v>
      </c>
      <c r="R153" t="s">
        <v>2220</v>
      </c>
      <c r="S153" t="s">
        <v>2221</v>
      </c>
      <c r="T153">
        <v>89850772243</v>
      </c>
      <c r="U153" t="s">
        <v>2181</v>
      </c>
      <c r="V153" t="s">
        <v>2222</v>
      </c>
      <c r="W153">
        <v>9949331135</v>
      </c>
      <c r="X153" t="s">
        <v>2183</v>
      </c>
      <c r="Y153" t="s">
        <v>2118</v>
      </c>
      <c r="Z153" t="s">
        <v>2184</v>
      </c>
      <c r="AA153">
        <v>8</v>
      </c>
      <c r="AB153" s="6" t="s">
        <v>1075</v>
      </c>
      <c r="AC153" s="2" t="s">
        <v>579</v>
      </c>
      <c r="AF153" s="167" t="s">
        <v>1688</v>
      </c>
      <c r="AI153" s="6">
        <v>2</v>
      </c>
      <c r="AJ153" s="13" t="s">
        <v>1329</v>
      </c>
      <c r="AK153" s="58">
        <v>0.54166666666666696</v>
      </c>
      <c r="AL153" s="58" t="str">
        <f t="shared" si="17"/>
        <v>09:30 - 13:00</v>
      </c>
      <c r="AM153" s="151">
        <v>6</v>
      </c>
      <c r="AN153" s="95">
        <f t="shared" si="16"/>
        <v>300000</v>
      </c>
      <c r="AO153" s="94" t="b">
        <v>1</v>
      </c>
      <c r="AP153" s="34">
        <f t="shared" si="18"/>
        <v>225.4</v>
      </c>
      <c r="AQ153" s="23">
        <f t="shared" si="19"/>
        <v>1</v>
      </c>
      <c r="AR153" s="35" t="s">
        <v>48</v>
      </c>
      <c r="AW153" s="63" t="str">
        <f t="shared" si="20"/>
        <v>09:38:45</v>
      </c>
      <c r="AX153" s="152"/>
      <c r="AY153" s="160">
        <v>1</v>
      </c>
      <c r="AZ153" s="10"/>
      <c r="BA153" s="104" t="str">
        <f t="shared" si="21"/>
        <v>МОЖАЙСКОЕ-Ш-29</v>
      </c>
      <c r="BB153" s="87">
        <f>AP153*3.5+10*60</f>
        <v>1388.9</v>
      </c>
      <c r="BD153" s="123"/>
      <c r="BE153" s="117" t="s">
        <v>1315</v>
      </c>
      <c r="BF153" s="89">
        <v>-12.45000000000001</v>
      </c>
      <c r="BG153" s="89" t="s">
        <v>1315</v>
      </c>
      <c r="BH153" s="89" t="s">
        <v>1315</v>
      </c>
      <c r="BI153" s="89">
        <v>-14.37166666666667</v>
      </c>
      <c r="BJ153" s="89" t="s">
        <v>1315</v>
      </c>
      <c r="BK153" s="89" t="s">
        <v>1315</v>
      </c>
      <c r="BL153" s="10" t="s">
        <v>577</v>
      </c>
    </row>
    <row r="154" spans="1:65" ht="15" customHeight="1" x14ac:dyDescent="0.3">
      <c r="C154" s="1">
        <v>412</v>
      </c>
      <c r="D154" s="6">
        <v>507163</v>
      </c>
      <c r="E154" s="6">
        <v>4163</v>
      </c>
      <c r="F154" s="40" t="s">
        <v>1565</v>
      </c>
      <c r="G154" s="8" t="s">
        <v>43</v>
      </c>
      <c r="H154" s="9">
        <v>45.69</v>
      </c>
      <c r="I154" s="9">
        <v>17.329999999999998</v>
      </c>
      <c r="J154" s="9" t="s">
        <v>1315</v>
      </c>
      <c r="K154" s="1" t="s">
        <v>1743</v>
      </c>
      <c r="M154" s="2" t="s">
        <v>1962</v>
      </c>
      <c r="N154" s="1">
        <v>1</v>
      </c>
      <c r="O154" s="1">
        <v>2</v>
      </c>
      <c r="P154" s="1" t="s">
        <v>552</v>
      </c>
      <c r="Q154" s="10" t="s">
        <v>1125</v>
      </c>
      <c r="R154" t="s">
        <v>2220</v>
      </c>
      <c r="S154" t="s">
        <v>2221</v>
      </c>
      <c r="T154">
        <v>89850772243</v>
      </c>
      <c r="U154" t="s">
        <v>2181</v>
      </c>
      <c r="V154" t="s">
        <v>2222</v>
      </c>
      <c r="W154">
        <v>9949331135</v>
      </c>
      <c r="X154" t="s">
        <v>2183</v>
      </c>
      <c r="Y154" t="s">
        <v>2118</v>
      </c>
      <c r="Z154" t="s">
        <v>2184</v>
      </c>
      <c r="AA154">
        <v>8</v>
      </c>
      <c r="AB154" s="6" t="s">
        <v>933</v>
      </c>
      <c r="AC154" s="41" t="s">
        <v>1126</v>
      </c>
      <c r="AF154" s="167" t="s">
        <v>1672</v>
      </c>
      <c r="AI154" s="6">
        <v>2</v>
      </c>
      <c r="AJ154" s="114" t="str">
        <f ca="1">IF((WEEKDAY(TODAY(),2))=6,"10:00","09:00")</f>
        <v>09:00</v>
      </c>
      <c r="AK154" s="58">
        <v>0.54166666666666696</v>
      </c>
      <c r="AL154" s="58" t="str">
        <f t="shared" ca="1" si="17"/>
        <v>09:00 - 13:00</v>
      </c>
      <c r="AM154" s="151">
        <v>6</v>
      </c>
      <c r="AN154" s="95">
        <f t="shared" si="16"/>
        <v>403327.99999999994</v>
      </c>
      <c r="AO154" s="94" t="b">
        <v>1</v>
      </c>
      <c r="AP154" s="34">
        <f t="shared" si="18"/>
        <v>1260.3999999999999</v>
      </c>
      <c r="AQ154" s="23">
        <f t="shared" si="19"/>
        <v>3</v>
      </c>
      <c r="AR154" s="35" t="s">
        <v>48</v>
      </c>
      <c r="AW154" s="63" t="str">
        <f t="shared" ca="1" si="20"/>
        <v>10:28:23</v>
      </c>
      <c r="AX154" s="152"/>
      <c r="AY154" s="160">
        <v>1</v>
      </c>
      <c r="AZ154" s="10"/>
      <c r="BA154" s="104" t="str">
        <f t="shared" si="21"/>
        <v>РОМАШКОВО-ЕВРОПЕЙСКИЙ-Б-Р-4</v>
      </c>
      <c r="BB154" s="85">
        <f>AP154*3.5+10*60</f>
        <v>5011.3999999999996</v>
      </c>
      <c r="BD154" s="123"/>
      <c r="BE154" s="117" t="s">
        <v>1315</v>
      </c>
      <c r="BF154" s="89">
        <v>-5.0266666666666708</v>
      </c>
      <c r="BG154" s="89">
        <v>-9.9199999999999875</v>
      </c>
      <c r="BH154" s="89" t="s">
        <v>1315</v>
      </c>
      <c r="BI154" s="89" t="s">
        <v>1315</v>
      </c>
      <c r="BJ154" s="89" t="s">
        <v>1315</v>
      </c>
      <c r="BK154" s="89" t="s">
        <v>1315</v>
      </c>
      <c r="BL154" s="40" t="s">
        <v>1124</v>
      </c>
    </row>
    <row r="155" spans="1:65" ht="15" customHeight="1" x14ac:dyDescent="0.3">
      <c r="C155" s="1">
        <v>415</v>
      </c>
      <c r="D155" s="6">
        <v>50794</v>
      </c>
      <c r="E155" s="6">
        <v>4794</v>
      </c>
      <c r="F155" s="36" t="s">
        <v>1566</v>
      </c>
      <c r="G155" s="8" t="s">
        <v>43</v>
      </c>
      <c r="H155" s="9">
        <v>14.23</v>
      </c>
      <c r="I155" s="9">
        <v>6.14</v>
      </c>
      <c r="J155" s="9" t="s">
        <v>1315</v>
      </c>
      <c r="K155" s="1" t="s">
        <v>1743</v>
      </c>
      <c r="M155" s="2" t="s">
        <v>1943</v>
      </c>
      <c r="N155" s="1">
        <v>1</v>
      </c>
      <c r="O155" s="1">
        <v>3</v>
      </c>
      <c r="P155" s="1" t="s">
        <v>517</v>
      </c>
      <c r="Q155" s="10" t="s">
        <v>519</v>
      </c>
      <c r="R155" t="s">
        <v>2220</v>
      </c>
      <c r="S155" t="s">
        <v>2221</v>
      </c>
      <c r="T155">
        <v>89850772243</v>
      </c>
      <c r="U155" t="s">
        <v>2181</v>
      </c>
      <c r="V155" t="s">
        <v>2222</v>
      </c>
      <c r="W155">
        <v>9949331135</v>
      </c>
      <c r="X155" t="s">
        <v>2183</v>
      </c>
      <c r="Y155" t="s">
        <v>2118</v>
      </c>
      <c r="Z155" t="s">
        <v>2184</v>
      </c>
      <c r="AA155">
        <v>8</v>
      </c>
      <c r="AB155" s="6" t="s">
        <v>934</v>
      </c>
      <c r="AC155" s="2" t="s">
        <v>520</v>
      </c>
      <c r="AF155" s="167" t="s">
        <v>1672</v>
      </c>
      <c r="AI155" s="6">
        <v>2</v>
      </c>
      <c r="AJ155" s="114" t="str">
        <f ca="1">IF((WEEKDAY(TODAY(),2))=6,"10:00","09:30")</f>
        <v>09:30</v>
      </c>
      <c r="AK155" s="58">
        <v>0.54166666666666696</v>
      </c>
      <c r="AL155" s="58" t="str">
        <f t="shared" ca="1" si="17"/>
        <v>09:30 - 13:00</v>
      </c>
      <c r="AM155" s="151">
        <v>6</v>
      </c>
      <c r="AN155" s="95">
        <f t="shared" si="16"/>
        <v>300000</v>
      </c>
      <c r="AO155" s="94" t="b">
        <v>1</v>
      </c>
      <c r="AP155" s="34">
        <f t="shared" si="18"/>
        <v>407.40000000000003</v>
      </c>
      <c r="AQ155" s="23">
        <f t="shared" si="19"/>
        <v>1</v>
      </c>
      <c r="AR155" s="35" t="s">
        <v>48</v>
      </c>
      <c r="AW155" s="63" t="str">
        <f t="shared" ca="1" si="20"/>
        <v>12:07:03</v>
      </c>
      <c r="AX155" s="152"/>
      <c r="AY155" s="160">
        <v>1</v>
      </c>
      <c r="AZ155" s="10"/>
      <c r="BA155" s="104" t="str">
        <f t="shared" si="21"/>
        <v>ОДИНЦОВО-СКОЛКОВСКАЯ-3А</v>
      </c>
      <c r="BB155" s="85">
        <f>AP155*3.8+10*60</f>
        <v>2148.12</v>
      </c>
      <c r="BD155" s="123"/>
      <c r="BE155" s="117" t="s">
        <v>1315</v>
      </c>
      <c r="BF155" s="89">
        <v>-9.8859999999999886</v>
      </c>
      <c r="BG155" s="89" t="s">
        <v>1315</v>
      </c>
      <c r="BH155" s="89" t="s">
        <v>1315</v>
      </c>
      <c r="BI155" s="89">
        <v>-12.448000000000008</v>
      </c>
      <c r="BJ155" s="89">
        <v>-32.355999999999995</v>
      </c>
      <c r="BK155" s="89" t="s">
        <v>1315</v>
      </c>
      <c r="BL155" s="36" t="s">
        <v>518</v>
      </c>
    </row>
    <row r="156" spans="1:65" ht="15" customHeight="1" x14ac:dyDescent="0.3">
      <c r="C156" s="1">
        <v>416</v>
      </c>
      <c r="D156" s="6">
        <v>50927</v>
      </c>
      <c r="E156" s="6">
        <v>4927</v>
      </c>
      <c r="F156" s="36" t="s">
        <v>1567</v>
      </c>
      <c r="G156" s="8" t="s">
        <v>43</v>
      </c>
      <c r="H156" s="9">
        <v>32.31</v>
      </c>
      <c r="I156" s="9">
        <v>20.5</v>
      </c>
      <c r="J156" s="9" t="s">
        <v>1315</v>
      </c>
      <c r="K156" s="1" t="s">
        <v>1743</v>
      </c>
      <c r="M156" s="2" t="s">
        <v>2028</v>
      </c>
      <c r="N156" s="1">
        <v>1</v>
      </c>
      <c r="O156" s="1">
        <v>4</v>
      </c>
      <c r="P156" s="1" t="s">
        <v>517</v>
      </c>
      <c r="Q156" s="10" t="s">
        <v>522</v>
      </c>
      <c r="R156" t="s">
        <v>2220</v>
      </c>
      <c r="S156" t="s">
        <v>2221</v>
      </c>
      <c r="T156">
        <v>89850772243</v>
      </c>
      <c r="U156" t="s">
        <v>2181</v>
      </c>
      <c r="V156" t="s">
        <v>2222</v>
      </c>
      <c r="W156">
        <v>9949331135</v>
      </c>
      <c r="X156" t="s">
        <v>2183</v>
      </c>
      <c r="Y156" t="s">
        <v>2118</v>
      </c>
      <c r="Z156" t="s">
        <v>2184</v>
      </c>
      <c r="AA156">
        <v>8</v>
      </c>
      <c r="AB156" s="6" t="s">
        <v>935</v>
      </c>
      <c r="AC156" s="2" t="s">
        <v>523</v>
      </c>
      <c r="AF156" s="167" t="s">
        <v>1672</v>
      </c>
      <c r="AI156" s="6">
        <v>2</v>
      </c>
      <c r="AJ156" s="114" t="str">
        <f ca="1">IF((WEEKDAY(TODAY(),2))=6,"10:00","09:30")</f>
        <v>09:30</v>
      </c>
      <c r="AK156" s="58">
        <v>0.54166666666666696</v>
      </c>
      <c r="AL156" s="58" t="str">
        <f t="shared" ca="1" si="17"/>
        <v>09:30 - 13:00</v>
      </c>
      <c r="AM156" s="151">
        <v>6</v>
      </c>
      <c r="AN156" s="95">
        <f t="shared" si="16"/>
        <v>337984</v>
      </c>
      <c r="AO156" s="94" t="b">
        <v>1</v>
      </c>
      <c r="AP156" s="34">
        <f t="shared" si="18"/>
        <v>1056.2</v>
      </c>
      <c r="AQ156" s="23">
        <f t="shared" si="19"/>
        <v>2</v>
      </c>
      <c r="AR156" s="35" t="s">
        <v>48</v>
      </c>
      <c r="AW156" s="63" t="str">
        <f t="shared" ca="1" si="20"/>
        <v>12:46:40</v>
      </c>
      <c r="AX156" s="152"/>
      <c r="AY156" s="160">
        <v>1</v>
      </c>
      <c r="AZ156" s="10"/>
      <c r="BA156" s="104" t="str">
        <f t="shared" si="21"/>
        <v>ОДИНЦОВО-СКОЛКОВСКАЯ-5А</v>
      </c>
      <c r="BB156" s="85">
        <f>AP156*4+10*60</f>
        <v>4824.8</v>
      </c>
      <c r="BD156" s="123"/>
      <c r="BE156" s="117" t="s">
        <v>1315</v>
      </c>
      <c r="BF156" s="89" t="s">
        <v>1315</v>
      </c>
      <c r="BG156" s="89">
        <v>14.776666666666664</v>
      </c>
      <c r="BH156" s="89" t="s">
        <v>1315</v>
      </c>
      <c r="BI156" s="89">
        <v>1.1713333333333438</v>
      </c>
      <c r="BJ156" s="89">
        <v>35.871333333333332</v>
      </c>
      <c r="BK156" s="89">
        <v>27.768000000000001</v>
      </c>
      <c r="BL156" s="36" t="s">
        <v>521</v>
      </c>
    </row>
    <row r="157" spans="1:65" ht="15" customHeight="1" x14ac:dyDescent="0.3">
      <c r="C157" s="1">
        <v>469</v>
      </c>
      <c r="D157" s="6">
        <v>7029</v>
      </c>
      <c r="E157" s="6">
        <v>4029</v>
      </c>
      <c r="F157" s="36" t="s">
        <v>1588</v>
      </c>
      <c r="G157" s="8" t="s">
        <v>50</v>
      </c>
      <c r="H157" s="9">
        <v>53.58</v>
      </c>
      <c r="I157" s="9">
        <v>7.36</v>
      </c>
      <c r="J157" s="9" t="s">
        <v>1803</v>
      </c>
      <c r="K157" s="1" t="s">
        <v>1725</v>
      </c>
      <c r="M157" s="2" t="s">
        <v>1972</v>
      </c>
      <c r="N157" s="1">
        <v>2</v>
      </c>
      <c r="O157" s="1">
        <v>1</v>
      </c>
      <c r="P157" s="1" t="s">
        <v>51</v>
      </c>
      <c r="Q157" s="10" t="s">
        <v>1257</v>
      </c>
      <c r="R157" t="s">
        <v>2220</v>
      </c>
      <c r="S157" t="s">
        <v>2221</v>
      </c>
      <c r="T157">
        <v>89850772243</v>
      </c>
      <c r="U157" t="s">
        <v>2181</v>
      </c>
      <c r="V157" t="s">
        <v>2222</v>
      </c>
      <c r="W157">
        <v>9949331135</v>
      </c>
      <c r="X157" t="s">
        <v>2183</v>
      </c>
      <c r="Y157" t="s">
        <v>2118</v>
      </c>
      <c r="Z157" t="s">
        <v>2184</v>
      </c>
      <c r="AA157">
        <v>8</v>
      </c>
      <c r="AB157" s="6" t="s">
        <v>992</v>
      </c>
      <c r="AC157" s="10" t="s">
        <v>1256</v>
      </c>
      <c r="AD157" s="48" t="s">
        <v>1171</v>
      </c>
      <c r="AE157" s="48" t="s">
        <v>1172</v>
      </c>
      <c r="AF157" s="171" t="s">
        <v>732</v>
      </c>
      <c r="AH157" s="24"/>
      <c r="AI157" s="6">
        <v>2</v>
      </c>
      <c r="AJ157" s="13" t="s">
        <v>1328</v>
      </c>
      <c r="AK157" s="142" t="str">
        <f>IF(AP157&gt;2000,"15:00",IF(AP157&lt;1000,"16:30","16:00"))</f>
        <v>16:00</v>
      </c>
      <c r="AL157" s="58" t="str">
        <f t="shared" si="17"/>
        <v>09:00 - 16:00</v>
      </c>
      <c r="AM157" s="151">
        <v>5</v>
      </c>
      <c r="AN157" s="95">
        <f t="shared" ref="AN157:AN182" si="22">IF(AP157&gt;1000,(AP157*320),300000)</f>
        <v>390016</v>
      </c>
      <c r="AO157" s="94" t="b">
        <v>1</v>
      </c>
      <c r="AP157" s="34">
        <f t="shared" si="18"/>
        <v>1218.8</v>
      </c>
      <c r="AQ157" s="23">
        <f t="shared" si="19"/>
        <v>3</v>
      </c>
      <c r="AR157" s="35" t="s">
        <v>48</v>
      </c>
      <c r="AW157" s="63" t="str">
        <f t="shared" si="20"/>
        <v>15:50:28</v>
      </c>
      <c r="AX157" s="152"/>
      <c r="AY157" s="160">
        <v>2</v>
      </c>
      <c r="AZ157" s="10"/>
      <c r="BA157" s="104" t="str">
        <f t="shared" si="21"/>
        <v>КОММУНАРКА-М-ПОНИЗОВЬЕ-10</v>
      </c>
      <c r="BB157" s="85">
        <f>AP157*3+10*60</f>
        <v>4256.3999999999996</v>
      </c>
      <c r="BD157" s="123"/>
      <c r="BE157" s="117" t="s">
        <v>1315</v>
      </c>
      <c r="BF157" s="89">
        <v>3.4566666666666706</v>
      </c>
      <c r="BG157" s="89" t="s">
        <v>1315</v>
      </c>
      <c r="BH157" s="89">
        <v>-0.22333333333333272</v>
      </c>
      <c r="BI157" s="89" t="s">
        <v>1315</v>
      </c>
      <c r="BJ157" s="89">
        <v>-6.3800000000000097</v>
      </c>
      <c r="BK157" s="89" t="s">
        <v>1315</v>
      </c>
      <c r="BL157" s="36" t="s">
        <v>1094</v>
      </c>
    </row>
    <row r="158" spans="1:65" ht="15" customHeight="1" x14ac:dyDescent="0.3">
      <c r="C158" s="1">
        <v>480</v>
      </c>
      <c r="D158" s="6">
        <v>7032</v>
      </c>
      <c r="E158" s="6">
        <v>4032</v>
      </c>
      <c r="F158" s="36" t="s">
        <v>1589</v>
      </c>
      <c r="G158" s="8" t="s">
        <v>50</v>
      </c>
      <c r="H158" s="9">
        <v>16.32</v>
      </c>
      <c r="I158" s="9">
        <v>11.49</v>
      </c>
      <c r="J158" s="9" t="s">
        <v>1315</v>
      </c>
      <c r="K158" s="1" t="s">
        <v>1725</v>
      </c>
      <c r="L158" s="2">
        <v>2</v>
      </c>
      <c r="M158" s="2" t="s">
        <v>1897</v>
      </c>
      <c r="N158" s="1">
        <v>2</v>
      </c>
      <c r="O158" s="1">
        <v>2</v>
      </c>
      <c r="P158" s="1" t="s">
        <v>51</v>
      </c>
      <c r="Q158" s="10" t="s">
        <v>571</v>
      </c>
      <c r="R158" t="s">
        <v>2220</v>
      </c>
      <c r="S158" t="s">
        <v>2221</v>
      </c>
      <c r="T158">
        <v>89850772243</v>
      </c>
      <c r="U158" t="s">
        <v>2181</v>
      </c>
      <c r="V158" t="s">
        <v>2222</v>
      </c>
      <c r="W158">
        <v>9949331135</v>
      </c>
      <c r="X158" t="s">
        <v>2183</v>
      </c>
      <c r="Y158" t="s">
        <v>2118</v>
      </c>
      <c r="Z158" t="s">
        <v>2184</v>
      </c>
      <c r="AA158">
        <v>8</v>
      </c>
      <c r="AB158" s="6" t="s">
        <v>1025</v>
      </c>
      <c r="AC158" s="10" t="s">
        <v>572</v>
      </c>
      <c r="AF158" s="167" t="s">
        <v>1672</v>
      </c>
      <c r="AH158" s="24"/>
      <c r="AI158" s="6">
        <v>2</v>
      </c>
      <c r="AJ158" s="13" t="s">
        <v>1328</v>
      </c>
      <c r="AK158" s="162">
        <v>0.75</v>
      </c>
      <c r="AL158" s="58" t="str">
        <f t="shared" si="17"/>
        <v>09:00 - 18:00</v>
      </c>
      <c r="AM158" s="151">
        <v>5</v>
      </c>
      <c r="AN158" s="95">
        <f t="shared" si="22"/>
        <v>300000</v>
      </c>
      <c r="AO158" s="94" t="b">
        <v>1</v>
      </c>
      <c r="AP158" s="34">
        <f t="shared" si="18"/>
        <v>556.20000000000005</v>
      </c>
      <c r="AQ158" s="23">
        <f t="shared" si="19"/>
        <v>2</v>
      </c>
      <c r="AR158" s="35" t="s">
        <v>48</v>
      </c>
      <c r="AW158" s="63" t="str">
        <f t="shared" si="20"/>
        <v>17:24:49</v>
      </c>
      <c r="AX158" s="152"/>
      <c r="AY158" s="160">
        <v>3</v>
      </c>
      <c r="AZ158" s="10"/>
      <c r="BA158" s="104" t="str">
        <f t="shared" si="21"/>
        <v>СОСЕНСКОЕ-КУПРИНА-ПР-Т-40К1</v>
      </c>
      <c r="BB158" s="87">
        <f>AP158*3.5+10*60</f>
        <v>2546.7000000000003</v>
      </c>
      <c r="BD158" s="123"/>
      <c r="BE158" s="117" t="s">
        <v>1315</v>
      </c>
      <c r="BF158" s="89">
        <v>11.179999999999996</v>
      </c>
      <c r="BG158" s="89" t="s">
        <v>1315</v>
      </c>
      <c r="BH158" s="89" t="s">
        <v>1315</v>
      </c>
      <c r="BI158" s="89">
        <v>-2.5983333333333292</v>
      </c>
      <c r="BJ158" s="89" t="s">
        <v>1315</v>
      </c>
      <c r="BK158" s="89" t="s">
        <v>1315</v>
      </c>
      <c r="BL158" s="36" t="s">
        <v>570</v>
      </c>
    </row>
    <row r="159" spans="1:65" ht="15" customHeight="1" x14ac:dyDescent="0.3">
      <c r="C159" s="1">
        <v>432</v>
      </c>
      <c r="D159" s="6">
        <v>257155</v>
      </c>
      <c r="E159" s="6">
        <v>4155</v>
      </c>
      <c r="F159" s="40" t="s">
        <v>1578</v>
      </c>
      <c r="G159" s="8" t="s">
        <v>43</v>
      </c>
      <c r="H159" s="9">
        <v>45.28</v>
      </c>
      <c r="I159" s="9">
        <v>14.13</v>
      </c>
      <c r="J159" s="9" t="s">
        <v>1840</v>
      </c>
      <c r="K159" s="1" t="s">
        <v>1777</v>
      </c>
      <c r="M159" s="2" t="s">
        <v>1326</v>
      </c>
      <c r="N159" s="1">
        <v>1</v>
      </c>
      <c r="O159" s="1">
        <v>1</v>
      </c>
      <c r="P159" s="1" t="s">
        <v>552</v>
      </c>
      <c r="Q159" s="10" t="s">
        <v>1101</v>
      </c>
      <c r="R159" t="s">
        <v>2223</v>
      </c>
      <c r="S159" t="s">
        <v>2224</v>
      </c>
      <c r="T159">
        <v>89163683700</v>
      </c>
      <c r="U159" t="s">
        <v>2181</v>
      </c>
      <c r="V159" t="s">
        <v>2225</v>
      </c>
      <c r="W159">
        <v>9949330189</v>
      </c>
      <c r="X159" t="s">
        <v>2183</v>
      </c>
      <c r="Y159" t="s">
        <v>2118</v>
      </c>
      <c r="Z159" t="s">
        <v>2184</v>
      </c>
      <c r="AA159">
        <v>8</v>
      </c>
      <c r="AB159" s="6" t="s">
        <v>947</v>
      </c>
      <c r="AC159" s="2" t="s">
        <v>1102</v>
      </c>
      <c r="AF159" s="153" t="s">
        <v>1672</v>
      </c>
      <c r="AI159" s="6">
        <v>1</v>
      </c>
      <c r="AJ159" s="114" t="str">
        <f ca="1">IF((WEEKDAY(TODAY(),2))=6,"10:00","08:00")</f>
        <v>08:00</v>
      </c>
      <c r="AK159" s="107" t="str">
        <f ca="1">IF((WEEKDAY(TODAY(),2))=6,"13:00","10:00")</f>
        <v>10:00</v>
      </c>
      <c r="AL159" s="58" t="str">
        <f t="shared" ca="1" si="17"/>
        <v>08:00 - 10:00</v>
      </c>
      <c r="AM159" s="151">
        <v>6</v>
      </c>
      <c r="AN159" s="95">
        <f t="shared" si="22"/>
        <v>380224</v>
      </c>
      <c r="AO159" s="94" t="b">
        <v>1</v>
      </c>
      <c r="AP159" s="34">
        <f t="shared" si="18"/>
        <v>1188.2</v>
      </c>
      <c r="AQ159" s="23">
        <f t="shared" si="19"/>
        <v>3</v>
      </c>
      <c r="AR159" s="35" t="s">
        <v>48</v>
      </c>
      <c r="AW159" s="63" t="str">
        <f t="shared" ca="1" si="20"/>
        <v>08:00</v>
      </c>
      <c r="AX159" s="152"/>
      <c r="AY159" s="160">
        <v>1</v>
      </c>
      <c r="AZ159" s="10"/>
      <c r="BA159" s="104" t="str">
        <f t="shared" si="21"/>
        <v>ВНИИССОК-БЕРЕЗОВАЯ-4</v>
      </c>
      <c r="BB159" s="85">
        <f>AP159*3+10*60</f>
        <v>4164.6000000000004</v>
      </c>
      <c r="BD159" s="123"/>
      <c r="BE159" s="117" t="s">
        <v>1315</v>
      </c>
      <c r="BF159" s="89" t="s">
        <v>1315</v>
      </c>
      <c r="BG159" s="89" t="s">
        <v>1315</v>
      </c>
      <c r="BH159" s="89">
        <v>-2.6766666666666623</v>
      </c>
      <c r="BI159" s="89" t="s">
        <v>1315</v>
      </c>
      <c r="BJ159" s="89">
        <v>-39.833333333333336</v>
      </c>
      <c r="BK159" s="89" t="s">
        <v>1315</v>
      </c>
      <c r="BL159" s="40" t="s">
        <v>1100</v>
      </c>
    </row>
    <row r="160" spans="1:65" ht="15" customHeight="1" x14ac:dyDescent="0.3">
      <c r="C160" s="1">
        <v>488</v>
      </c>
      <c r="D160" s="6">
        <v>97</v>
      </c>
      <c r="E160" s="6">
        <v>7097</v>
      </c>
      <c r="F160" s="1" t="s">
        <v>1414</v>
      </c>
      <c r="G160" s="8" t="s">
        <v>50</v>
      </c>
      <c r="H160" s="9">
        <v>7.84</v>
      </c>
      <c r="I160" s="9">
        <v>10.59</v>
      </c>
      <c r="J160" s="9" t="s">
        <v>1788</v>
      </c>
      <c r="K160" s="1" t="s">
        <v>1742</v>
      </c>
      <c r="M160" s="2" t="s">
        <v>1938</v>
      </c>
      <c r="N160" s="1">
        <v>2</v>
      </c>
      <c r="O160" s="1">
        <v>1</v>
      </c>
      <c r="P160" s="1" t="s">
        <v>51</v>
      </c>
      <c r="Q160" s="10" t="s">
        <v>151</v>
      </c>
      <c r="R160" t="s">
        <v>2223</v>
      </c>
      <c r="S160" t="s">
        <v>2224</v>
      </c>
      <c r="T160">
        <v>89163683700</v>
      </c>
      <c r="U160" t="s">
        <v>2181</v>
      </c>
      <c r="V160" t="s">
        <v>2225</v>
      </c>
      <c r="W160">
        <v>9949330189</v>
      </c>
      <c r="X160" t="s">
        <v>2183</v>
      </c>
      <c r="Y160" t="s">
        <v>2118</v>
      </c>
      <c r="Z160" t="s">
        <v>2184</v>
      </c>
      <c r="AA160">
        <v>8</v>
      </c>
      <c r="AB160" s="6" t="s">
        <v>1060</v>
      </c>
      <c r="AC160" s="2" t="s">
        <v>152</v>
      </c>
      <c r="AF160" s="171" t="s">
        <v>732</v>
      </c>
      <c r="AI160" s="6">
        <v>2</v>
      </c>
      <c r="AJ160" s="13" t="s">
        <v>1329</v>
      </c>
      <c r="AK160" s="58">
        <v>0.54166666666666696</v>
      </c>
      <c r="AL160" s="58" t="str">
        <f t="shared" si="17"/>
        <v>09:30 - 13:00</v>
      </c>
      <c r="AM160" s="151">
        <v>5</v>
      </c>
      <c r="AN160" s="95">
        <f t="shared" si="22"/>
        <v>300000</v>
      </c>
      <c r="AO160" s="94" t="b">
        <v>1</v>
      </c>
      <c r="AP160" s="34">
        <f t="shared" si="18"/>
        <v>368.6</v>
      </c>
      <c r="AQ160" s="23">
        <f t="shared" si="19"/>
        <v>1</v>
      </c>
      <c r="AR160" s="35" t="s">
        <v>48</v>
      </c>
      <c r="AW160" s="63" t="str">
        <f t="shared" si="20"/>
        <v>10:58:25</v>
      </c>
      <c r="AX160" s="152"/>
      <c r="AY160" s="160">
        <v>1</v>
      </c>
      <c r="AZ160" s="10"/>
      <c r="BA160" s="104" t="str">
        <f t="shared" si="21"/>
        <v>ОСТРОВИТЯНОВА-13</v>
      </c>
      <c r="BB160" s="85">
        <f>AP160*3.2+10*60</f>
        <v>1779.5200000000002</v>
      </c>
      <c r="BD160" s="123"/>
      <c r="BE160" s="117" t="s">
        <v>1315</v>
      </c>
      <c r="BF160" s="89">
        <v>-28.98599999999999</v>
      </c>
      <c r="BG160" s="89">
        <v>-6.6359999999999957</v>
      </c>
      <c r="BH160" s="89" t="s">
        <v>1315</v>
      </c>
      <c r="BI160" s="89" t="s">
        <v>1315</v>
      </c>
      <c r="BJ160" s="89" t="s">
        <v>1315</v>
      </c>
      <c r="BK160" s="89" t="s">
        <v>1315</v>
      </c>
      <c r="BL160" s="1" t="s">
        <v>150</v>
      </c>
    </row>
    <row r="161" spans="1:65" ht="15" customHeight="1" x14ac:dyDescent="0.3">
      <c r="C161" s="1">
        <v>112</v>
      </c>
      <c r="D161" s="6">
        <v>910</v>
      </c>
      <c r="E161" s="6">
        <v>4910</v>
      </c>
      <c r="F161" s="36" t="s">
        <v>1468</v>
      </c>
      <c r="G161" s="8" t="s">
        <v>50</v>
      </c>
      <c r="H161" s="9">
        <v>13.88</v>
      </c>
      <c r="I161" s="9">
        <v>6.47</v>
      </c>
      <c r="J161" s="9" t="s">
        <v>1315</v>
      </c>
      <c r="K161" s="1" t="s">
        <v>1742</v>
      </c>
      <c r="M161" s="2" t="s">
        <v>1942</v>
      </c>
      <c r="N161" s="1">
        <v>2</v>
      </c>
      <c r="O161" s="1">
        <v>2</v>
      </c>
      <c r="P161" s="1" t="s">
        <v>51</v>
      </c>
      <c r="Q161" s="10" t="s">
        <v>93</v>
      </c>
      <c r="R161" t="s">
        <v>2223</v>
      </c>
      <c r="S161" t="s">
        <v>2224</v>
      </c>
      <c r="T161">
        <v>89163683700</v>
      </c>
      <c r="U161" t="s">
        <v>2181</v>
      </c>
      <c r="V161" t="s">
        <v>2225</v>
      </c>
      <c r="W161">
        <v>9949330189</v>
      </c>
      <c r="X161" t="s">
        <v>2183</v>
      </c>
      <c r="Y161" t="s">
        <v>2118</v>
      </c>
      <c r="Z161" t="s">
        <v>2184</v>
      </c>
      <c r="AA161">
        <v>8</v>
      </c>
      <c r="AB161" s="6" t="s">
        <v>795</v>
      </c>
      <c r="AC161" s="2" t="s">
        <v>94</v>
      </c>
      <c r="AF161" s="171" t="s">
        <v>732</v>
      </c>
      <c r="AI161" s="6">
        <v>2</v>
      </c>
      <c r="AJ161" s="13" t="s">
        <v>1329</v>
      </c>
      <c r="AK161" s="143">
        <v>0.58333333333333337</v>
      </c>
      <c r="AL161" s="58" t="str">
        <f t="shared" si="17"/>
        <v>09:30 - 14:00</v>
      </c>
      <c r="AM161" s="151">
        <v>5</v>
      </c>
      <c r="AN161" s="95">
        <f t="shared" si="22"/>
        <v>300000</v>
      </c>
      <c r="AO161" s="94" t="b">
        <v>1</v>
      </c>
      <c r="AP161" s="34">
        <f t="shared" si="18"/>
        <v>407</v>
      </c>
      <c r="AQ161" s="23">
        <f t="shared" si="19"/>
        <v>1</v>
      </c>
      <c r="AR161" s="35" t="s">
        <v>48</v>
      </c>
      <c r="AU161" s="46"/>
      <c r="AW161" s="63" t="str">
        <f t="shared" si="20"/>
        <v>11:48:56</v>
      </c>
      <c r="AX161" s="152"/>
      <c r="AY161" s="160">
        <v>2</v>
      </c>
      <c r="AZ161" s="10"/>
      <c r="BA161" s="104" t="str">
        <f t="shared" si="21"/>
        <v>НАМЕТКИНА-11</v>
      </c>
      <c r="BB161" s="85">
        <f>AP161*3.2+10*60</f>
        <v>1902.4</v>
      </c>
      <c r="BD161" s="123"/>
      <c r="BE161" s="117" t="s">
        <v>1315</v>
      </c>
      <c r="BF161" s="89">
        <v>-9.8640000000000043</v>
      </c>
      <c r="BG161" s="89">
        <v>-22.803333333333327</v>
      </c>
      <c r="BH161" s="89" t="s">
        <v>1315</v>
      </c>
      <c r="BI161" s="89" t="s">
        <v>1315</v>
      </c>
      <c r="BJ161" s="89">
        <v>2.4126666666666594</v>
      </c>
      <c r="BK161" s="89" t="s">
        <v>1315</v>
      </c>
      <c r="BL161" s="36" t="s">
        <v>92</v>
      </c>
    </row>
    <row r="162" spans="1:65" ht="15" customHeight="1" x14ac:dyDescent="0.3">
      <c r="C162" s="1">
        <v>116</v>
      </c>
      <c r="D162" s="6">
        <v>7091</v>
      </c>
      <c r="E162" s="6">
        <v>4091</v>
      </c>
      <c r="F162" s="10" t="s">
        <v>1469</v>
      </c>
      <c r="G162" s="8" t="s">
        <v>50</v>
      </c>
      <c r="H162" s="9">
        <v>66.97</v>
      </c>
      <c r="I162" s="9">
        <v>34.68</v>
      </c>
      <c r="J162" s="9" t="s">
        <v>1315</v>
      </c>
      <c r="K162" s="1" t="s">
        <v>1742</v>
      </c>
      <c r="M162" s="2" t="s">
        <v>2055</v>
      </c>
      <c r="N162" s="1">
        <v>2</v>
      </c>
      <c r="O162" s="1">
        <v>3</v>
      </c>
      <c r="P162" s="1" t="s">
        <v>51</v>
      </c>
      <c r="Q162" s="10" t="s">
        <v>997</v>
      </c>
      <c r="R162" t="s">
        <v>2223</v>
      </c>
      <c r="S162" t="s">
        <v>2224</v>
      </c>
      <c r="T162">
        <v>89163683700</v>
      </c>
      <c r="U162" t="s">
        <v>2181</v>
      </c>
      <c r="V162" t="s">
        <v>2225</v>
      </c>
      <c r="W162">
        <v>9949330189</v>
      </c>
      <c r="X162" t="s">
        <v>2183</v>
      </c>
      <c r="Y162" t="s">
        <v>2118</v>
      </c>
      <c r="Z162" t="s">
        <v>2184</v>
      </c>
      <c r="AA162">
        <v>8</v>
      </c>
      <c r="AB162" s="6" t="s">
        <v>796</v>
      </c>
      <c r="AC162" s="2" t="s">
        <v>998</v>
      </c>
      <c r="AF162" s="167" t="s">
        <v>1672</v>
      </c>
      <c r="AI162" s="6">
        <v>2</v>
      </c>
      <c r="AJ162" s="13" t="s">
        <v>1329</v>
      </c>
      <c r="AK162" s="58">
        <v>0.54166666666666696</v>
      </c>
      <c r="AL162" s="58" t="str">
        <f t="shared" si="17"/>
        <v>09:30 - 13:00</v>
      </c>
      <c r="AM162" s="151">
        <v>5</v>
      </c>
      <c r="AN162" s="95">
        <f t="shared" si="22"/>
        <v>650560</v>
      </c>
      <c r="AO162" s="94" t="b">
        <v>1</v>
      </c>
      <c r="AP162" s="34">
        <f t="shared" si="18"/>
        <v>2033</v>
      </c>
      <c r="AQ162" s="23">
        <f t="shared" si="19"/>
        <v>4</v>
      </c>
      <c r="AR162" s="35" t="s">
        <v>48</v>
      </c>
      <c r="AU162" s="46"/>
      <c r="AW162" s="63" t="str">
        <f t="shared" si="20"/>
        <v>12:30:27</v>
      </c>
      <c r="AX162" s="152"/>
      <c r="AY162" s="160">
        <v>1</v>
      </c>
      <c r="AZ162" s="10"/>
      <c r="BA162" s="104" t="str">
        <f t="shared" si="21"/>
        <v>КРЖИЖАНОВСКОГО-14К1</v>
      </c>
      <c r="BB162" s="85">
        <f>AP162*2.8+10*60</f>
        <v>6292.4</v>
      </c>
      <c r="BD162" s="123"/>
      <c r="BE162" s="117" t="s">
        <v>1315</v>
      </c>
      <c r="BF162" s="89">
        <v>1.980000000000004</v>
      </c>
      <c r="BG162" s="89" t="s">
        <v>1315</v>
      </c>
      <c r="BH162" s="89" t="s">
        <v>1315</v>
      </c>
      <c r="BI162" s="89">
        <v>-28.826000000000001</v>
      </c>
      <c r="BJ162" s="89" t="s">
        <v>1315</v>
      </c>
      <c r="BK162" s="89" t="s">
        <v>1315</v>
      </c>
      <c r="BL162" s="10" t="s">
        <v>996</v>
      </c>
    </row>
    <row r="163" spans="1:65" ht="15" customHeight="1" x14ac:dyDescent="0.3">
      <c r="C163" s="1">
        <v>56</v>
      </c>
      <c r="D163" s="6">
        <v>601</v>
      </c>
      <c r="E163" s="6">
        <v>7601</v>
      </c>
      <c r="F163" s="1" t="s">
        <v>1388</v>
      </c>
      <c r="G163" s="8" t="s">
        <v>50</v>
      </c>
      <c r="H163" s="9">
        <v>25.07</v>
      </c>
      <c r="I163" s="9">
        <v>2.93</v>
      </c>
      <c r="J163" s="9" t="s">
        <v>1809</v>
      </c>
      <c r="K163" s="1" t="s">
        <v>1761</v>
      </c>
      <c r="M163" s="2" t="s">
        <v>1328</v>
      </c>
      <c r="N163" s="1">
        <v>1</v>
      </c>
      <c r="O163" s="1">
        <v>1</v>
      </c>
      <c r="P163" s="1" t="s">
        <v>51</v>
      </c>
      <c r="Q163" s="10" t="s">
        <v>70</v>
      </c>
      <c r="R163" t="s">
        <v>2226</v>
      </c>
      <c r="S163" t="s">
        <v>2227</v>
      </c>
      <c r="T163">
        <v>89801216071</v>
      </c>
      <c r="U163" t="s">
        <v>2181</v>
      </c>
      <c r="V163" t="s">
        <v>2228</v>
      </c>
      <c r="W163">
        <v>9949331413</v>
      </c>
      <c r="X163" t="s">
        <v>2183</v>
      </c>
      <c r="Y163" t="s">
        <v>2118</v>
      </c>
      <c r="Z163" t="s">
        <v>2184</v>
      </c>
      <c r="AA163">
        <v>8</v>
      </c>
      <c r="AB163" s="6" t="s">
        <v>764</v>
      </c>
      <c r="AC163" s="2" t="s">
        <v>71</v>
      </c>
      <c r="AF163" s="14" t="s">
        <v>732</v>
      </c>
      <c r="AI163" s="6">
        <v>1</v>
      </c>
      <c r="AJ163" s="13" t="s">
        <v>1328</v>
      </c>
      <c r="AK163" s="58">
        <v>0.5</v>
      </c>
      <c r="AL163" s="58" t="str">
        <f t="shared" si="17"/>
        <v>09:00 - 12:00</v>
      </c>
      <c r="AM163" s="151">
        <v>5</v>
      </c>
      <c r="AN163" s="95">
        <f t="shared" si="22"/>
        <v>300000</v>
      </c>
      <c r="AO163" s="94" t="b">
        <v>1</v>
      </c>
      <c r="AP163" s="34">
        <f t="shared" si="18"/>
        <v>560</v>
      </c>
      <c r="AQ163" s="23">
        <f t="shared" si="19"/>
        <v>2</v>
      </c>
      <c r="AR163" s="35" t="s">
        <v>48</v>
      </c>
      <c r="AU163" s="46"/>
      <c r="AW163" s="63" t="str">
        <f t="shared" si="20"/>
        <v>09:00</v>
      </c>
      <c r="AX163" s="152"/>
      <c r="AY163" s="160">
        <v>1</v>
      </c>
      <c r="AZ163" s="10"/>
      <c r="BA163" s="104" t="str">
        <f t="shared" si="21"/>
        <v>АЗОВСКАЯ-24К2</v>
      </c>
      <c r="BB163" s="85">
        <f>AP163*2.8+10*60</f>
        <v>2168</v>
      </c>
      <c r="BD163" s="123"/>
      <c r="BE163" s="117" t="s">
        <v>1315</v>
      </c>
      <c r="BF163" s="89">
        <v>-9.2346666666666692</v>
      </c>
      <c r="BG163" s="89">
        <v>-21.438666666666663</v>
      </c>
      <c r="BH163" s="89">
        <v>-7.5859999999999914</v>
      </c>
      <c r="BI163" s="89">
        <v>-15.860000000000003</v>
      </c>
      <c r="BJ163" s="89" t="s">
        <v>1315</v>
      </c>
      <c r="BK163" s="89" t="s">
        <v>1315</v>
      </c>
      <c r="BL163" s="1" t="s">
        <v>69</v>
      </c>
    </row>
    <row r="164" spans="1:65" ht="15" customHeight="1" x14ac:dyDescent="0.3">
      <c r="C164" s="1">
        <v>117</v>
      </c>
      <c r="D164" s="6">
        <v>630</v>
      </c>
      <c r="E164" s="6">
        <v>7630</v>
      </c>
      <c r="F164" s="1" t="s">
        <v>1470</v>
      </c>
      <c r="G164" s="8" t="s">
        <v>50</v>
      </c>
      <c r="H164" s="9">
        <v>8.3000000000000007</v>
      </c>
      <c r="I164" s="9">
        <v>2.1800000000000002</v>
      </c>
      <c r="J164" s="9" t="s">
        <v>1315</v>
      </c>
      <c r="K164" s="1" t="s">
        <v>1761</v>
      </c>
      <c r="M164" s="2" t="s">
        <v>1978</v>
      </c>
      <c r="N164" s="1">
        <v>1</v>
      </c>
      <c r="O164" s="1">
        <v>2</v>
      </c>
      <c r="P164" s="1" t="s">
        <v>51</v>
      </c>
      <c r="Q164" s="1" t="s">
        <v>96</v>
      </c>
      <c r="R164" t="s">
        <v>2226</v>
      </c>
      <c r="S164" t="s">
        <v>2227</v>
      </c>
      <c r="T164">
        <v>89801216071</v>
      </c>
      <c r="U164" t="s">
        <v>2181</v>
      </c>
      <c r="V164" t="s">
        <v>2228</v>
      </c>
      <c r="W164">
        <v>9949331413</v>
      </c>
      <c r="X164" t="s">
        <v>2183</v>
      </c>
      <c r="Y164" t="s">
        <v>2118</v>
      </c>
      <c r="Z164" t="s">
        <v>2184</v>
      </c>
      <c r="AA164">
        <v>8</v>
      </c>
      <c r="AB164" s="6" t="s">
        <v>797</v>
      </c>
      <c r="AC164" s="2" t="s">
        <v>97</v>
      </c>
      <c r="AF164" s="171" t="s">
        <v>732</v>
      </c>
      <c r="AI164" s="6">
        <v>2</v>
      </c>
      <c r="AJ164" s="13" t="s">
        <v>1329</v>
      </c>
      <c r="AK164" s="142" t="str">
        <f>IF(AP164&gt;2000,"15:00",IF(AP164&lt;1000,"16:30","16:00"))</f>
        <v>16:30</v>
      </c>
      <c r="AL164" s="58" t="str">
        <f t="shared" si="17"/>
        <v>09:30 - 16:30</v>
      </c>
      <c r="AM164" s="151">
        <v>5</v>
      </c>
      <c r="AN164" s="95">
        <f t="shared" si="22"/>
        <v>300000</v>
      </c>
      <c r="AO164" s="94" t="b">
        <v>1</v>
      </c>
      <c r="AP164" s="34">
        <f t="shared" si="18"/>
        <v>209.6</v>
      </c>
      <c r="AQ164" s="23">
        <f t="shared" si="19"/>
        <v>1</v>
      </c>
      <c r="AR164" s="35" t="s">
        <v>48</v>
      </c>
      <c r="AU164" s="46"/>
      <c r="AW164" s="63" t="str">
        <f t="shared" si="20"/>
        <v>09:43:14</v>
      </c>
      <c r="AX164" s="152"/>
      <c r="AY164" s="160">
        <v>2</v>
      </c>
      <c r="AZ164" s="10"/>
      <c r="BA164" s="104" t="str">
        <f t="shared" si="21"/>
        <v>НАХИМОВСКИЙ-ПР-Т-11К2</v>
      </c>
      <c r="BB164" s="87">
        <f>AP164*3.5+10*60</f>
        <v>1333.6</v>
      </c>
      <c r="BD164" s="123"/>
      <c r="BE164" s="117" t="s">
        <v>1315</v>
      </c>
      <c r="BF164" s="89">
        <v>-17.984999999999996</v>
      </c>
      <c r="BG164" s="89" t="s">
        <v>1315</v>
      </c>
      <c r="BH164" s="89" t="s">
        <v>1315</v>
      </c>
      <c r="BI164" s="89">
        <v>97.026666666666713</v>
      </c>
      <c r="BJ164" s="89" t="s">
        <v>1315</v>
      </c>
      <c r="BK164" s="89">
        <v>0.72333333333332916</v>
      </c>
      <c r="BL164" s="68" t="s">
        <v>95</v>
      </c>
    </row>
    <row r="165" spans="1:65" ht="15" customHeight="1" x14ac:dyDescent="0.3">
      <c r="C165" s="1">
        <v>517</v>
      </c>
      <c r="D165" s="6">
        <v>813</v>
      </c>
      <c r="E165" s="6">
        <v>4813</v>
      </c>
      <c r="F165" s="36" t="s">
        <v>1423</v>
      </c>
      <c r="G165" s="8" t="s">
        <v>50</v>
      </c>
      <c r="H165" s="9">
        <v>26.060000000000002</v>
      </c>
      <c r="I165" s="9">
        <v>6.5</v>
      </c>
      <c r="J165" s="9" t="s">
        <v>1315</v>
      </c>
      <c r="K165" s="1" t="s">
        <v>1761</v>
      </c>
      <c r="M165" s="2" t="s">
        <v>1979</v>
      </c>
      <c r="N165" s="1">
        <v>1</v>
      </c>
      <c r="O165" s="1">
        <v>3</v>
      </c>
      <c r="P165" s="1" t="s">
        <v>51</v>
      </c>
      <c r="Q165" s="10" t="s">
        <v>584</v>
      </c>
      <c r="R165" t="s">
        <v>2226</v>
      </c>
      <c r="S165" t="s">
        <v>2227</v>
      </c>
      <c r="T165">
        <v>89801216071</v>
      </c>
      <c r="U165" t="s">
        <v>2181</v>
      </c>
      <c r="V165" t="s">
        <v>2228</v>
      </c>
      <c r="W165">
        <v>9949331413</v>
      </c>
      <c r="X165" t="s">
        <v>2183</v>
      </c>
      <c r="Y165" t="s">
        <v>2118</v>
      </c>
      <c r="Z165" t="s">
        <v>2184</v>
      </c>
      <c r="AA165">
        <v>8</v>
      </c>
      <c r="AB165" s="6" t="s">
        <v>1107</v>
      </c>
      <c r="AC165" s="2" t="s">
        <v>585</v>
      </c>
      <c r="AF165" s="155" t="s">
        <v>732</v>
      </c>
      <c r="AI165" s="6">
        <v>2</v>
      </c>
      <c r="AJ165" s="13" t="s">
        <v>1329</v>
      </c>
      <c r="AK165" s="58">
        <v>0.54166666666666696</v>
      </c>
      <c r="AL165" s="58" t="str">
        <f t="shared" si="17"/>
        <v>09:30 - 13:00</v>
      </c>
      <c r="AM165" s="151">
        <v>4</v>
      </c>
      <c r="AN165" s="95">
        <f t="shared" si="22"/>
        <v>300000</v>
      </c>
      <c r="AO165" s="94" t="b">
        <v>1</v>
      </c>
      <c r="AP165" s="34">
        <f t="shared" si="18"/>
        <v>651.20000000000005</v>
      </c>
      <c r="AQ165" s="23">
        <f t="shared" si="19"/>
        <v>2</v>
      </c>
      <c r="AR165" s="35" t="s">
        <v>48</v>
      </c>
      <c r="AW165" s="63" t="str">
        <f t="shared" si="20"/>
        <v>10:28:48</v>
      </c>
      <c r="AX165" s="152"/>
      <c r="AY165" s="160">
        <v>1</v>
      </c>
      <c r="AZ165" s="10"/>
      <c r="BA165" s="104" t="str">
        <f t="shared" si="21"/>
        <v>СУДОСТРОИТЕЛЬНАЯ-17</v>
      </c>
      <c r="BB165" s="85">
        <f>AP165*3+10*60</f>
        <v>2553.6000000000004</v>
      </c>
      <c r="BD165" s="123"/>
      <c r="BE165" s="117">
        <v>-18.689999999999998</v>
      </c>
      <c r="BF165" s="89">
        <v>9.6633333333333269</v>
      </c>
      <c r="BG165" s="89" t="s">
        <v>1315</v>
      </c>
      <c r="BH165" s="89" t="s">
        <v>1315</v>
      </c>
      <c r="BI165" s="89" t="s">
        <v>1315</v>
      </c>
      <c r="BJ165" s="89">
        <v>24.11666666666666</v>
      </c>
      <c r="BK165" s="89">
        <v>4.3666666666666671</v>
      </c>
      <c r="BL165" s="36" t="s">
        <v>583</v>
      </c>
    </row>
    <row r="166" spans="1:65" ht="15" customHeight="1" x14ac:dyDescent="0.3">
      <c r="C166" s="1">
        <v>129</v>
      </c>
      <c r="D166" s="6">
        <v>7088</v>
      </c>
      <c r="E166" s="6">
        <v>4088</v>
      </c>
      <c r="F166" s="19" t="s">
        <v>1419</v>
      </c>
      <c r="G166" s="8" t="s">
        <v>50</v>
      </c>
      <c r="H166" s="9">
        <v>50.980000000000004</v>
      </c>
      <c r="I166" s="9">
        <v>17.850000000000001</v>
      </c>
      <c r="J166" s="9" t="s">
        <v>1315</v>
      </c>
      <c r="K166" s="1" t="s">
        <v>1761</v>
      </c>
      <c r="M166" s="2" t="s">
        <v>2046</v>
      </c>
      <c r="N166" s="1">
        <v>1</v>
      </c>
      <c r="O166" s="1">
        <v>4</v>
      </c>
      <c r="P166" s="1" t="s">
        <v>51</v>
      </c>
      <c r="Q166" s="10" t="s">
        <v>315</v>
      </c>
      <c r="R166" t="s">
        <v>2226</v>
      </c>
      <c r="S166" t="s">
        <v>2227</v>
      </c>
      <c r="T166">
        <v>89801216071</v>
      </c>
      <c r="U166" t="s">
        <v>2181</v>
      </c>
      <c r="V166" t="s">
        <v>2228</v>
      </c>
      <c r="W166">
        <v>9949331413</v>
      </c>
      <c r="X166" t="s">
        <v>2183</v>
      </c>
      <c r="Y166" t="s">
        <v>2118</v>
      </c>
      <c r="Z166" t="s">
        <v>2184</v>
      </c>
      <c r="AA166">
        <v>8</v>
      </c>
      <c r="AB166" s="6" t="s">
        <v>804</v>
      </c>
      <c r="AC166" s="2" t="s">
        <v>316</v>
      </c>
      <c r="AF166" s="14" t="s">
        <v>732</v>
      </c>
      <c r="AG166" s="5" t="s">
        <v>28</v>
      </c>
      <c r="AH166" s="25">
        <v>100</v>
      </c>
      <c r="AI166" s="6">
        <v>2</v>
      </c>
      <c r="AJ166" s="13" t="s">
        <v>1328</v>
      </c>
      <c r="AK166" s="58">
        <v>0.54166666666666696</v>
      </c>
      <c r="AL166" s="58" t="str">
        <f t="shared" si="17"/>
        <v>09:00 - 13:00</v>
      </c>
      <c r="AM166" s="151"/>
      <c r="AN166" s="95">
        <f t="shared" si="22"/>
        <v>440512.00000000006</v>
      </c>
      <c r="AO166" s="94" t="b">
        <v>1</v>
      </c>
      <c r="AP166" s="34">
        <f t="shared" si="18"/>
        <v>1376.6000000000001</v>
      </c>
      <c r="AQ166" s="23">
        <f t="shared" si="19"/>
        <v>3</v>
      </c>
      <c r="AR166" s="35" t="s">
        <v>48</v>
      </c>
      <c r="AU166" s="46"/>
      <c r="AW166" s="63" t="str">
        <f t="shared" si="20"/>
        <v>11:39:24</v>
      </c>
      <c r="AX166" s="152"/>
      <c r="AY166" s="160">
        <v>1</v>
      </c>
      <c r="AZ166" s="10"/>
      <c r="BA166" s="104" t="str">
        <f t="shared" si="21"/>
        <v>МЫТНАЯ-62</v>
      </c>
      <c r="BB166" s="70">
        <f>AP166*3.8+10*60</f>
        <v>5831.08</v>
      </c>
      <c r="BD166" s="123"/>
      <c r="BE166" s="117">
        <v>53.712000000000025</v>
      </c>
      <c r="BF166" s="89">
        <v>-22.38</v>
      </c>
      <c r="BG166" s="89" t="s">
        <v>1315</v>
      </c>
      <c r="BH166" s="89" t="s">
        <v>1315</v>
      </c>
      <c r="BI166" s="89">
        <v>18.817999999999969</v>
      </c>
      <c r="BJ166" s="89" t="s">
        <v>1315</v>
      </c>
      <c r="BK166" s="89" t="s">
        <v>1315</v>
      </c>
      <c r="BL166" s="19" t="s">
        <v>1030</v>
      </c>
    </row>
    <row r="167" spans="1:65" ht="15" customHeight="1" x14ac:dyDescent="0.3">
      <c r="C167" s="1">
        <v>509</v>
      </c>
      <c r="D167" s="6">
        <v>702</v>
      </c>
      <c r="E167" s="6">
        <v>4702</v>
      </c>
      <c r="F167" s="1" t="s">
        <v>1598</v>
      </c>
      <c r="G167" s="8" t="s">
        <v>50</v>
      </c>
      <c r="H167" s="9">
        <v>78.13</v>
      </c>
      <c r="I167" s="9">
        <v>17.2</v>
      </c>
      <c r="J167" s="9" t="s">
        <v>1784</v>
      </c>
      <c r="K167" s="1" t="s">
        <v>1720</v>
      </c>
      <c r="M167" s="2" t="s">
        <v>1328</v>
      </c>
      <c r="N167" s="1">
        <v>1</v>
      </c>
      <c r="O167" s="1">
        <v>1</v>
      </c>
      <c r="P167" s="1" t="s">
        <v>51</v>
      </c>
      <c r="Q167" s="1" t="s">
        <v>186</v>
      </c>
      <c r="R167" t="s">
        <v>2229</v>
      </c>
      <c r="S167" t="s">
        <v>2230</v>
      </c>
      <c r="T167">
        <v>89916020488</v>
      </c>
      <c r="U167" t="s">
        <v>2181</v>
      </c>
      <c r="V167" t="s">
        <v>2231</v>
      </c>
      <c r="W167">
        <v>9949330265</v>
      </c>
      <c r="X167" t="s">
        <v>2183</v>
      </c>
      <c r="Y167" t="s">
        <v>2118</v>
      </c>
      <c r="Z167" t="s">
        <v>2184</v>
      </c>
      <c r="AA167">
        <v>8</v>
      </c>
      <c r="AB167" s="6" t="s">
        <v>1093</v>
      </c>
      <c r="AC167" s="2" t="s">
        <v>187</v>
      </c>
      <c r="AF167" s="154" t="s">
        <v>1672</v>
      </c>
      <c r="AI167" s="6">
        <v>1</v>
      </c>
      <c r="AJ167" s="114" t="str">
        <f ca="1">IF((WEEKDAY(TODAY(),2))=6,"09:30","09:00")</f>
        <v>09:00</v>
      </c>
      <c r="AK167" s="161" t="str">
        <f ca="1">IF((WEEKDAY(TODAY(),2))=6,"09:45","09:15")</f>
        <v>09:15</v>
      </c>
      <c r="AL167" s="58" t="str">
        <f t="shared" ca="1" si="17"/>
        <v>09:00 - 09:15</v>
      </c>
      <c r="AM167" s="151">
        <v>5</v>
      </c>
      <c r="AN167" s="95">
        <f t="shared" si="22"/>
        <v>610112</v>
      </c>
      <c r="AO167" s="94" t="b">
        <v>1</v>
      </c>
      <c r="AP167" s="34">
        <f t="shared" si="18"/>
        <v>1906.6</v>
      </c>
      <c r="AQ167" s="23">
        <f t="shared" si="19"/>
        <v>4</v>
      </c>
      <c r="AR167" s="35" t="s">
        <v>48</v>
      </c>
      <c r="AW167" s="63" t="str">
        <f t="shared" ca="1" si="20"/>
        <v>09:00</v>
      </c>
      <c r="AX167" s="152"/>
      <c r="AY167" s="160">
        <v>1</v>
      </c>
      <c r="AZ167" s="10"/>
      <c r="BA167" s="104" t="str">
        <f t="shared" si="21"/>
        <v>АК-АНОХИНА-46К1</v>
      </c>
      <c r="BB167" s="85">
        <f>AP167*3+10*60</f>
        <v>6319.7999999999993</v>
      </c>
      <c r="BD167" s="123"/>
      <c r="BE167" s="117" t="s">
        <v>1315</v>
      </c>
      <c r="BF167" s="89">
        <v>95.236666666666693</v>
      </c>
      <c r="BG167" s="89">
        <v>19.346666666666657</v>
      </c>
      <c r="BH167" s="89">
        <v>8.3866666666666561</v>
      </c>
      <c r="BI167" s="89" t="s">
        <v>1315</v>
      </c>
      <c r="BJ167" s="89">
        <v>13.353333333333325</v>
      </c>
      <c r="BK167" s="89" t="s">
        <v>1315</v>
      </c>
      <c r="BL167" s="1" t="s">
        <v>185</v>
      </c>
    </row>
    <row r="168" spans="1:65" ht="15" customHeight="1" x14ac:dyDescent="0.3">
      <c r="C168" s="1">
        <v>459</v>
      </c>
      <c r="D168" s="6">
        <v>807</v>
      </c>
      <c r="E168" s="6">
        <v>4807</v>
      </c>
      <c r="F168" s="10" t="s">
        <v>1449</v>
      </c>
      <c r="G168" s="8" t="s">
        <v>50</v>
      </c>
      <c r="H168" s="9">
        <v>25.88</v>
      </c>
      <c r="I168" s="9">
        <v>7.08</v>
      </c>
      <c r="J168" s="9" t="s">
        <v>1315</v>
      </c>
      <c r="K168" s="1" t="s">
        <v>1720</v>
      </c>
      <c r="M168" s="2" t="s">
        <v>1949</v>
      </c>
      <c r="N168" s="1">
        <v>1</v>
      </c>
      <c r="O168" s="1">
        <v>2</v>
      </c>
      <c r="P168" s="1" t="s">
        <v>51</v>
      </c>
      <c r="Q168" s="10" t="s">
        <v>563</v>
      </c>
      <c r="R168" t="s">
        <v>2229</v>
      </c>
      <c r="S168" t="s">
        <v>2230</v>
      </c>
      <c r="T168">
        <v>89916020488</v>
      </c>
      <c r="U168" t="s">
        <v>2181</v>
      </c>
      <c r="V168" t="s">
        <v>2231</v>
      </c>
      <c r="W168">
        <v>9949330265</v>
      </c>
      <c r="X168" t="s">
        <v>2183</v>
      </c>
      <c r="Y168" t="s">
        <v>2118</v>
      </c>
      <c r="Z168" t="s">
        <v>2184</v>
      </c>
      <c r="AA168">
        <v>8</v>
      </c>
      <c r="AB168" s="6" t="s">
        <v>975</v>
      </c>
      <c r="AC168" s="2" t="s">
        <v>564</v>
      </c>
      <c r="AF168" s="153" t="s">
        <v>1672</v>
      </c>
      <c r="AI168" s="6">
        <v>2</v>
      </c>
      <c r="AJ168" s="13" t="s">
        <v>1329</v>
      </c>
      <c r="AK168" s="58">
        <v>0.54166666666666696</v>
      </c>
      <c r="AL168" s="58" t="str">
        <f t="shared" si="17"/>
        <v>09:30 - 13:00</v>
      </c>
      <c r="AM168" s="151">
        <v>6</v>
      </c>
      <c r="AN168" s="95">
        <f t="shared" si="22"/>
        <v>300000</v>
      </c>
      <c r="AO168" s="94" t="b">
        <v>1</v>
      </c>
      <c r="AP168" s="34">
        <f t="shared" si="18"/>
        <v>659.2</v>
      </c>
      <c r="AQ168" s="23">
        <f t="shared" si="19"/>
        <v>2</v>
      </c>
      <c r="AR168" s="35" t="s">
        <v>48</v>
      </c>
      <c r="AW168" s="63" t="str">
        <f t="shared" si="20"/>
        <v>11:07:36</v>
      </c>
      <c r="AX168" s="152"/>
      <c r="AY168" s="160">
        <v>1</v>
      </c>
      <c r="AZ168" s="10"/>
      <c r="BA168" s="104" t="str">
        <f t="shared" si="21"/>
        <v>НОВОПЕРЕДЕЛКИНСКАЯ-13А</v>
      </c>
      <c r="BB168" s="87">
        <f>AP168*3.5+10*60</f>
        <v>2907.2000000000003</v>
      </c>
      <c r="BD168" s="123"/>
      <c r="BE168" s="117">
        <v>-20.68833333333334</v>
      </c>
      <c r="BF168" s="89">
        <v>-2.7566666666666606</v>
      </c>
      <c r="BG168" s="89">
        <v>-23.361666666666665</v>
      </c>
      <c r="BH168" s="89">
        <v>-9.0966666666666711</v>
      </c>
      <c r="BI168" s="89" t="s">
        <v>1315</v>
      </c>
      <c r="BJ168" s="89" t="s">
        <v>1315</v>
      </c>
      <c r="BK168" s="89" t="s">
        <v>1315</v>
      </c>
      <c r="BL168" s="10" t="s">
        <v>562</v>
      </c>
    </row>
    <row r="169" spans="1:65" s="69" customFormat="1" ht="15" customHeight="1" x14ac:dyDescent="0.3">
      <c r="A169" s="1"/>
      <c r="B169" s="1"/>
      <c r="C169" s="1">
        <v>582</v>
      </c>
      <c r="D169" s="6">
        <v>703</v>
      </c>
      <c r="E169" s="6">
        <v>4703</v>
      </c>
      <c r="F169" s="1" t="s">
        <v>1623</v>
      </c>
      <c r="G169" s="8" t="s">
        <v>50</v>
      </c>
      <c r="H169" s="9">
        <v>28.990000000000002</v>
      </c>
      <c r="I169" s="9">
        <v>15.45</v>
      </c>
      <c r="J169" s="9" t="s">
        <v>1832</v>
      </c>
      <c r="K169" s="1" t="s">
        <v>1767</v>
      </c>
      <c r="L169" s="2" t="s">
        <v>44</v>
      </c>
      <c r="M169" s="2" t="s">
        <v>1328</v>
      </c>
      <c r="N169" s="1">
        <v>1</v>
      </c>
      <c r="O169" s="1">
        <v>1</v>
      </c>
      <c r="P169" s="1" t="s">
        <v>51</v>
      </c>
      <c r="Q169" s="10" t="s">
        <v>1207</v>
      </c>
      <c r="R169" t="s">
        <v>2232</v>
      </c>
      <c r="S169" t="s">
        <v>2233</v>
      </c>
      <c r="T169">
        <v>89693486033</v>
      </c>
      <c r="U169" t="s">
        <v>2181</v>
      </c>
      <c r="V169" t="s">
        <v>2234</v>
      </c>
      <c r="W169">
        <v>9949331852</v>
      </c>
      <c r="X169" t="s">
        <v>2183</v>
      </c>
      <c r="Y169" t="s">
        <v>2118</v>
      </c>
      <c r="Z169" t="s">
        <v>2184</v>
      </c>
      <c r="AA169">
        <v>8</v>
      </c>
      <c r="AB169" s="6" t="s">
        <v>1273</v>
      </c>
      <c r="AC169" s="2" t="s">
        <v>656</v>
      </c>
      <c r="AD169" s="48" t="s">
        <v>1157</v>
      </c>
      <c r="AE169" s="48" t="s">
        <v>1158</v>
      </c>
      <c r="AF169" s="14" t="s">
        <v>732</v>
      </c>
      <c r="AG169" s="5" t="s">
        <v>28</v>
      </c>
      <c r="AH169" s="5">
        <v>100</v>
      </c>
      <c r="AI169" s="6">
        <v>2</v>
      </c>
      <c r="AJ169" s="13" t="s">
        <v>1328</v>
      </c>
      <c r="AK169" s="58">
        <v>0.5</v>
      </c>
      <c r="AL169" s="58" t="str">
        <f t="shared" si="17"/>
        <v>09:00 - 12:00</v>
      </c>
      <c r="AM169" s="151"/>
      <c r="AN169" s="95">
        <f t="shared" si="22"/>
        <v>300000</v>
      </c>
      <c r="AO169" s="94" t="b">
        <v>1</v>
      </c>
      <c r="AP169" s="34">
        <f t="shared" si="18"/>
        <v>888.80000000000007</v>
      </c>
      <c r="AQ169" s="23">
        <f t="shared" si="19"/>
        <v>2</v>
      </c>
      <c r="AR169" s="35" t="s">
        <v>48</v>
      </c>
      <c r="AS169" s="1"/>
      <c r="AT169" s="1"/>
      <c r="AU169" s="44"/>
      <c r="AV169" s="1"/>
      <c r="AW169" s="63" t="str">
        <f t="shared" si="20"/>
        <v>09:00</v>
      </c>
      <c r="AX169" s="152"/>
      <c r="AY169" s="160">
        <v>1</v>
      </c>
      <c r="AZ169" s="10"/>
      <c r="BA169" s="104" t="str">
        <f t="shared" si="21"/>
        <v>Б-ПАЛАШЕВСКИЙ-ПЕР-14К7/5</v>
      </c>
      <c r="BB169" s="85">
        <f>AP169*3+10*60</f>
        <v>3266.4</v>
      </c>
      <c r="BC169" s="110"/>
      <c r="BD169" s="123"/>
      <c r="BE169" s="117" t="s">
        <v>1315</v>
      </c>
      <c r="BF169" s="89" t="s">
        <v>1315</v>
      </c>
      <c r="BG169" s="89" t="s">
        <v>1315</v>
      </c>
      <c r="BH169" s="89" t="s">
        <v>1315</v>
      </c>
      <c r="BI169" s="89" t="s">
        <v>1315</v>
      </c>
      <c r="BJ169" s="89" t="s">
        <v>1315</v>
      </c>
      <c r="BK169" s="89">
        <v>-27.966666666666676</v>
      </c>
      <c r="BL169" s="1" t="s">
        <v>655</v>
      </c>
      <c r="BM169" s="1"/>
    </row>
    <row r="170" spans="1:65" ht="15" customHeight="1" x14ac:dyDescent="0.3">
      <c r="C170" s="1">
        <v>581</v>
      </c>
      <c r="D170" s="6">
        <v>25</v>
      </c>
      <c r="E170" s="6">
        <v>7025</v>
      </c>
      <c r="F170" s="1" t="s">
        <v>1622</v>
      </c>
      <c r="G170" s="8" t="s">
        <v>50</v>
      </c>
      <c r="H170" s="9">
        <v>24.900000000000002</v>
      </c>
      <c r="I170" s="9">
        <v>24.9</v>
      </c>
      <c r="J170" s="9" t="s">
        <v>1315</v>
      </c>
      <c r="K170" s="1" t="s">
        <v>1767</v>
      </c>
      <c r="L170" s="2">
        <v>2</v>
      </c>
      <c r="M170" s="2" t="s">
        <v>2042</v>
      </c>
      <c r="N170" s="1">
        <v>1</v>
      </c>
      <c r="O170" s="1">
        <v>2</v>
      </c>
      <c r="P170" s="1" t="s">
        <v>51</v>
      </c>
      <c r="Q170" s="10" t="s">
        <v>653</v>
      </c>
      <c r="R170" t="s">
        <v>2232</v>
      </c>
      <c r="S170" t="s">
        <v>2233</v>
      </c>
      <c r="T170">
        <v>89693486033</v>
      </c>
      <c r="U170" t="s">
        <v>2181</v>
      </c>
      <c r="V170" t="s">
        <v>2234</v>
      </c>
      <c r="W170">
        <v>9949331852</v>
      </c>
      <c r="X170" t="s">
        <v>2183</v>
      </c>
      <c r="Y170" t="s">
        <v>2118</v>
      </c>
      <c r="Z170" t="s">
        <v>2184</v>
      </c>
      <c r="AA170">
        <v>8</v>
      </c>
      <c r="AB170" s="6" t="s">
        <v>1272</v>
      </c>
      <c r="AC170" s="2" t="s">
        <v>654</v>
      </c>
      <c r="AD170"/>
      <c r="AE170"/>
      <c r="AF170" s="14" t="s">
        <v>1678</v>
      </c>
      <c r="AG170" s="5" t="s">
        <v>28</v>
      </c>
      <c r="AH170" s="5">
        <v>100</v>
      </c>
      <c r="AI170" s="6">
        <v>2</v>
      </c>
      <c r="AJ170" s="13" t="s">
        <v>1329</v>
      </c>
      <c r="AK170" s="58">
        <v>0.5</v>
      </c>
      <c r="AL170" s="58" t="str">
        <f t="shared" si="17"/>
        <v>09:30 - 12:00</v>
      </c>
      <c r="AM170" s="151"/>
      <c r="AN170" s="95">
        <f t="shared" si="22"/>
        <v>300000</v>
      </c>
      <c r="AO170" s="94" t="b">
        <v>1</v>
      </c>
      <c r="AP170" s="34">
        <f t="shared" si="18"/>
        <v>996</v>
      </c>
      <c r="AQ170" s="23">
        <f t="shared" si="19"/>
        <v>2</v>
      </c>
      <c r="AR170" s="35" t="s">
        <v>48</v>
      </c>
      <c r="AW170" s="63" t="str">
        <f t="shared" si="20"/>
        <v>09:57:30</v>
      </c>
      <c r="AX170" s="152"/>
      <c r="AY170" s="160">
        <v>1</v>
      </c>
      <c r="AZ170" s="10"/>
      <c r="BA170" s="104" t="str">
        <f t="shared" si="21"/>
        <v>М-БРОННАЯ-22С1</v>
      </c>
      <c r="BB170" s="85">
        <f>AP170*4+10*60</f>
        <v>4584</v>
      </c>
      <c r="BD170" s="123"/>
      <c r="BE170" s="117" t="s">
        <v>1315</v>
      </c>
      <c r="BF170" s="89" t="s">
        <v>1315</v>
      </c>
      <c r="BG170" s="89" t="s">
        <v>1315</v>
      </c>
      <c r="BH170" s="89">
        <v>-48.086666666666659</v>
      </c>
      <c r="BI170" s="89" t="s">
        <v>1315</v>
      </c>
      <c r="BJ170" s="89" t="s">
        <v>1315</v>
      </c>
      <c r="BK170" s="89">
        <v>-5.1166666666666742</v>
      </c>
      <c r="BL170" s="1" t="s">
        <v>652</v>
      </c>
    </row>
    <row r="171" spans="1:65" ht="15" customHeight="1" x14ac:dyDescent="0.3">
      <c r="C171" s="1">
        <v>583</v>
      </c>
      <c r="D171" s="6">
        <v>39</v>
      </c>
      <c r="E171" s="6">
        <v>7039</v>
      </c>
      <c r="F171" s="1" t="s">
        <v>1455</v>
      </c>
      <c r="G171" s="8" t="s">
        <v>50</v>
      </c>
      <c r="H171" s="9">
        <v>42.519999999999996</v>
      </c>
      <c r="I171" s="9">
        <v>10.34</v>
      </c>
      <c r="J171" s="9" t="s">
        <v>1315</v>
      </c>
      <c r="K171" s="1" t="s">
        <v>1767</v>
      </c>
      <c r="L171" s="2" t="s">
        <v>44</v>
      </c>
      <c r="M171" s="2" t="s">
        <v>1994</v>
      </c>
      <c r="N171" s="1">
        <v>1</v>
      </c>
      <c r="O171" s="1">
        <v>3</v>
      </c>
      <c r="P171" s="1" t="s">
        <v>51</v>
      </c>
      <c r="Q171" s="10" t="s">
        <v>1212</v>
      </c>
      <c r="R171" t="s">
        <v>2232</v>
      </c>
      <c r="S171" t="s">
        <v>2233</v>
      </c>
      <c r="T171">
        <v>89693486033</v>
      </c>
      <c r="U171" t="s">
        <v>2181</v>
      </c>
      <c r="V171" t="s">
        <v>2234</v>
      </c>
      <c r="W171">
        <v>9949331852</v>
      </c>
      <c r="X171" t="s">
        <v>2183</v>
      </c>
      <c r="Y171" t="s">
        <v>2118</v>
      </c>
      <c r="Z171" t="s">
        <v>2184</v>
      </c>
      <c r="AA171">
        <v>8</v>
      </c>
      <c r="AB171" s="6" t="s">
        <v>1274</v>
      </c>
      <c r="AC171" s="2" t="s">
        <v>658</v>
      </c>
      <c r="AF171" s="14" t="s">
        <v>732</v>
      </c>
      <c r="AG171" s="5" t="s">
        <v>28</v>
      </c>
      <c r="AH171" s="5">
        <v>100</v>
      </c>
      <c r="AI171" s="6">
        <v>2</v>
      </c>
      <c r="AJ171" s="13" t="s">
        <v>1329</v>
      </c>
      <c r="AK171" s="58">
        <v>0.5</v>
      </c>
      <c r="AL171" s="58" t="str">
        <f t="shared" si="17"/>
        <v>09:30 - 12:00</v>
      </c>
      <c r="AM171" s="151"/>
      <c r="AN171" s="95">
        <f t="shared" si="22"/>
        <v>338303.99999999994</v>
      </c>
      <c r="AO171" s="94" t="b">
        <v>1</v>
      </c>
      <c r="AP171" s="34">
        <f t="shared" si="18"/>
        <v>1057.1999999999998</v>
      </c>
      <c r="AQ171" s="23">
        <f t="shared" si="19"/>
        <v>2</v>
      </c>
      <c r="AR171" s="35" t="s">
        <v>48</v>
      </c>
      <c r="AW171" s="63" t="str">
        <f t="shared" si="20"/>
        <v>11:23:54</v>
      </c>
      <c r="AX171" s="152"/>
      <c r="AY171" s="160">
        <v>1</v>
      </c>
      <c r="AZ171" s="10"/>
      <c r="BA171" s="104" t="str">
        <f t="shared" si="21"/>
        <v>ВОРОТНИКОВСКИЙ-ПЕР-5/9</v>
      </c>
      <c r="BB171" s="70">
        <f>AP171*3.8+10*60</f>
        <v>4617.3599999999988</v>
      </c>
      <c r="BD171" s="123"/>
      <c r="BE171" s="117" t="s">
        <v>1315</v>
      </c>
      <c r="BF171" s="89" t="s">
        <v>1315</v>
      </c>
      <c r="BG171" s="89" t="s">
        <v>1315</v>
      </c>
      <c r="BH171" s="89" t="s">
        <v>1315</v>
      </c>
      <c r="BI171" s="89" t="s">
        <v>1315</v>
      </c>
      <c r="BJ171" s="89" t="s">
        <v>1315</v>
      </c>
      <c r="BK171" s="89" t="s">
        <v>1315</v>
      </c>
      <c r="BL171" s="1" t="s">
        <v>657</v>
      </c>
    </row>
    <row r="172" spans="1:65" ht="15" customHeight="1" x14ac:dyDescent="0.3">
      <c r="C172" s="1">
        <v>127</v>
      </c>
      <c r="D172" s="6">
        <v>80</v>
      </c>
      <c r="E172" s="6">
        <v>7080</v>
      </c>
      <c r="F172" s="1" t="s">
        <v>1472</v>
      </c>
      <c r="G172" s="8" t="s">
        <v>50</v>
      </c>
      <c r="H172" s="9">
        <v>47.15</v>
      </c>
      <c r="I172" s="9">
        <v>18.36</v>
      </c>
      <c r="J172" s="9" t="s">
        <v>1807</v>
      </c>
      <c r="K172" s="1" t="s">
        <v>1731</v>
      </c>
      <c r="M172" s="2" t="s">
        <v>1329</v>
      </c>
      <c r="N172" s="1">
        <v>1</v>
      </c>
      <c r="O172" s="1">
        <v>1</v>
      </c>
      <c r="P172" s="1" t="s">
        <v>51</v>
      </c>
      <c r="Q172" s="10" t="s">
        <v>313</v>
      </c>
      <c r="R172" t="s">
        <v>2235</v>
      </c>
      <c r="S172" t="s">
        <v>2236</v>
      </c>
      <c r="T172">
        <v>89224481231</v>
      </c>
      <c r="U172" t="s">
        <v>2181</v>
      </c>
      <c r="V172" t="s">
        <v>2237</v>
      </c>
      <c r="W172">
        <v>9955448024</v>
      </c>
      <c r="X172" t="s">
        <v>2183</v>
      </c>
      <c r="Y172" t="s">
        <v>2118</v>
      </c>
      <c r="Z172" t="s">
        <v>2184</v>
      </c>
      <c r="AA172">
        <v>8</v>
      </c>
      <c r="AB172" s="6" t="s">
        <v>803</v>
      </c>
      <c r="AC172" s="2" t="s">
        <v>314</v>
      </c>
      <c r="AF172" s="14" t="s">
        <v>732</v>
      </c>
      <c r="AG172" s="5" t="s">
        <v>28</v>
      </c>
      <c r="AH172" s="5">
        <v>100</v>
      </c>
      <c r="AI172" s="6">
        <v>2</v>
      </c>
      <c r="AJ172" s="13" t="s">
        <v>1329</v>
      </c>
      <c r="AK172" s="58">
        <v>0.54166666666666696</v>
      </c>
      <c r="AL172" s="58" t="str">
        <f t="shared" si="17"/>
        <v>09:30 - 13:00</v>
      </c>
      <c r="AM172" s="151"/>
      <c r="AN172" s="95">
        <f t="shared" si="22"/>
        <v>419264</v>
      </c>
      <c r="AO172" s="94" t="b">
        <v>1</v>
      </c>
      <c r="AP172" s="34">
        <f t="shared" si="18"/>
        <v>1310.2</v>
      </c>
      <c r="AQ172" s="23">
        <f t="shared" si="19"/>
        <v>3</v>
      </c>
      <c r="AR172" s="35" t="s">
        <v>48</v>
      </c>
      <c r="AU172" s="46"/>
      <c r="AW172" s="63" t="str">
        <f t="shared" si="20"/>
        <v>09:30</v>
      </c>
      <c r="AX172" s="152"/>
      <c r="AY172" s="160">
        <v>1</v>
      </c>
      <c r="AZ172" s="10"/>
      <c r="BA172" s="104" t="str">
        <f t="shared" si="21"/>
        <v>ШАБОЛОВКА-65К1</v>
      </c>
      <c r="BB172" s="86">
        <f>AP172*3.5+10*60</f>
        <v>5185.7</v>
      </c>
      <c r="BD172" s="123"/>
      <c r="BE172" s="117" t="s">
        <v>1315</v>
      </c>
      <c r="BF172" s="89">
        <v>-13.548333333333332</v>
      </c>
      <c r="BG172" s="89" t="s">
        <v>1315</v>
      </c>
      <c r="BH172" s="89" t="s">
        <v>1315</v>
      </c>
      <c r="BI172" s="89">
        <v>-22.519999999999982</v>
      </c>
      <c r="BJ172" s="89" t="s">
        <v>1315</v>
      </c>
      <c r="BK172" s="89">
        <v>25.891666666666659</v>
      </c>
      <c r="BL172" s="1" t="s">
        <v>312</v>
      </c>
    </row>
    <row r="173" spans="1:65" ht="15" customHeight="1" x14ac:dyDescent="0.3">
      <c r="C173" s="1">
        <v>549</v>
      </c>
      <c r="D173" s="6">
        <v>25805</v>
      </c>
      <c r="E173" s="6">
        <v>4805</v>
      </c>
      <c r="F173" s="36" t="s">
        <v>1609</v>
      </c>
      <c r="G173" s="8" t="s">
        <v>43</v>
      </c>
      <c r="H173" s="9">
        <v>40.900000000000006</v>
      </c>
      <c r="I173" s="9">
        <v>40.700000000000003</v>
      </c>
      <c r="J173" s="9" t="s">
        <v>1315</v>
      </c>
      <c r="K173" s="1" t="s">
        <v>1731</v>
      </c>
      <c r="M173" s="2" t="s">
        <v>1918</v>
      </c>
      <c r="N173" s="1">
        <v>1</v>
      </c>
      <c r="O173" s="1">
        <v>2</v>
      </c>
      <c r="P173" s="1" t="s">
        <v>236</v>
      </c>
      <c r="Q173" s="1" t="s">
        <v>613</v>
      </c>
      <c r="R173" t="s">
        <v>2235</v>
      </c>
      <c r="S173" t="s">
        <v>2236</v>
      </c>
      <c r="T173">
        <v>89224481231</v>
      </c>
      <c r="U173" t="s">
        <v>2181</v>
      </c>
      <c r="V173" t="s">
        <v>2237</v>
      </c>
      <c r="W173">
        <v>9955448024</v>
      </c>
      <c r="X173" t="s">
        <v>2183</v>
      </c>
      <c r="Y173" t="s">
        <v>2118</v>
      </c>
      <c r="Z173" t="s">
        <v>2184</v>
      </c>
      <c r="AA173">
        <v>8</v>
      </c>
      <c r="AB173" s="6" t="s">
        <v>1223</v>
      </c>
      <c r="AC173" s="2" t="s">
        <v>614</v>
      </c>
      <c r="AF173" s="14" t="s">
        <v>732</v>
      </c>
      <c r="AI173" s="6">
        <v>2</v>
      </c>
      <c r="AJ173" s="114" t="str">
        <f ca="1">IF((WEEKDAY(TODAY(),2))=6,"10:00","09:30")</f>
        <v>09:30</v>
      </c>
      <c r="AK173" s="58">
        <v>0.54166666666666696</v>
      </c>
      <c r="AL173" s="58" t="str">
        <f t="shared" ca="1" si="17"/>
        <v>09:30 - 13:00</v>
      </c>
      <c r="AM173" s="151">
        <v>3</v>
      </c>
      <c r="AN173" s="95">
        <f t="shared" si="22"/>
        <v>522240</v>
      </c>
      <c r="AO173" s="94" t="b">
        <v>1</v>
      </c>
      <c r="AP173" s="34">
        <f t="shared" si="18"/>
        <v>1632</v>
      </c>
      <c r="AQ173" s="23">
        <f t="shared" si="19"/>
        <v>3</v>
      </c>
      <c r="AR173" s="35" t="s">
        <v>48</v>
      </c>
      <c r="AW173" s="63" t="str">
        <f t="shared" ca="1" si="20"/>
        <v>11:34:12</v>
      </c>
      <c r="AX173" s="152"/>
      <c r="AY173" s="160">
        <v>1</v>
      </c>
      <c r="AZ173" s="10"/>
      <c r="BA173" s="104" t="str">
        <f t="shared" si="21"/>
        <v>ЛЮБЕРЦЫ-ЮНОСТИ-13К1</v>
      </c>
      <c r="BB173" s="85">
        <f>AP173*4+10*60</f>
        <v>7128</v>
      </c>
      <c r="BD173" s="123"/>
      <c r="BE173" s="117" t="s">
        <v>1315</v>
      </c>
      <c r="BF173" s="89">
        <v>-41.289999999999992</v>
      </c>
      <c r="BG173" s="89">
        <v>-34.116666666666674</v>
      </c>
      <c r="BH173" s="89">
        <v>-21.543333333333344</v>
      </c>
      <c r="BI173" s="89">
        <v>-35.61333333333333</v>
      </c>
      <c r="BJ173" s="89">
        <v>-4.3866666666666703</v>
      </c>
      <c r="BK173" s="89" t="s">
        <v>1315</v>
      </c>
      <c r="BL173" s="36" t="s">
        <v>612</v>
      </c>
    </row>
    <row r="174" spans="1:65" ht="15" customHeight="1" x14ac:dyDescent="0.3">
      <c r="C174" s="1">
        <v>423</v>
      </c>
      <c r="D174" s="6">
        <v>25991</v>
      </c>
      <c r="E174" s="6">
        <v>4991</v>
      </c>
      <c r="F174" s="36" t="s">
        <v>1572</v>
      </c>
      <c r="G174" s="8" t="s">
        <v>43</v>
      </c>
      <c r="H174" s="9">
        <v>34.97</v>
      </c>
      <c r="I174" s="9">
        <v>13.08</v>
      </c>
      <c r="J174" s="9" t="s">
        <v>1796</v>
      </c>
      <c r="K174" s="1" t="s">
        <v>1703</v>
      </c>
      <c r="M174" s="2" t="s">
        <v>1957</v>
      </c>
      <c r="N174" s="1">
        <v>1</v>
      </c>
      <c r="O174" s="1">
        <v>1</v>
      </c>
      <c r="P174" s="1" t="s">
        <v>517</v>
      </c>
      <c r="Q174" s="10" t="s">
        <v>537</v>
      </c>
      <c r="R174" t="s">
        <v>2238</v>
      </c>
      <c r="S174" t="s">
        <v>2239</v>
      </c>
      <c r="T174">
        <v>89932660213</v>
      </c>
      <c r="U174" t="s">
        <v>2181</v>
      </c>
      <c r="V174" t="s">
        <v>2240</v>
      </c>
      <c r="W174">
        <v>9949330192</v>
      </c>
      <c r="X174" t="s">
        <v>2183</v>
      </c>
      <c r="Y174" t="s">
        <v>2118</v>
      </c>
      <c r="Z174" t="s">
        <v>2184</v>
      </c>
      <c r="AA174">
        <v>8</v>
      </c>
      <c r="AB174" s="6" t="s">
        <v>941</v>
      </c>
      <c r="AC174" s="2" t="s">
        <v>538</v>
      </c>
      <c r="AF174" s="153" t="s">
        <v>1672</v>
      </c>
      <c r="AI174" s="6">
        <v>2</v>
      </c>
      <c r="AJ174" s="114" t="str">
        <f ca="1">IF((WEEKDAY(TODAY(),2))=6,"10:00","09:30")</f>
        <v>09:30</v>
      </c>
      <c r="AK174" s="58">
        <v>0.54166666666666696</v>
      </c>
      <c r="AL174" s="58" t="str">
        <f t="shared" ca="1" si="17"/>
        <v>09:30 - 13:00</v>
      </c>
      <c r="AM174" s="151">
        <v>6</v>
      </c>
      <c r="AN174" s="95">
        <f t="shared" si="22"/>
        <v>300000</v>
      </c>
      <c r="AO174" s="94" t="b">
        <v>1</v>
      </c>
      <c r="AP174" s="34">
        <f t="shared" si="18"/>
        <v>961</v>
      </c>
      <c r="AQ174" s="23">
        <f t="shared" si="19"/>
        <v>2</v>
      </c>
      <c r="AR174" s="35" t="s">
        <v>48</v>
      </c>
      <c r="AW174" s="63" t="str">
        <f t="shared" ca="1" si="20"/>
        <v>10:29:01</v>
      </c>
      <c r="AX174" s="152"/>
      <c r="AY174" s="160">
        <v>1</v>
      </c>
      <c r="AZ174" s="10"/>
      <c r="BA174" s="104" t="str">
        <f t="shared" si="21"/>
        <v>ОДИНЦОВО-ВОКЗАЛЬНАЯ-31</v>
      </c>
      <c r="BB174" s="52">
        <f>AP174*3.7+10*60</f>
        <v>4155.7000000000007</v>
      </c>
      <c r="BD174" s="123"/>
      <c r="BE174" s="117" t="s">
        <v>1315</v>
      </c>
      <c r="BF174" s="89" t="s">
        <v>1315</v>
      </c>
      <c r="BG174" s="89" t="s">
        <v>1315</v>
      </c>
      <c r="BH174" s="89" t="s">
        <v>1315</v>
      </c>
      <c r="BI174" s="89" t="s">
        <v>1315</v>
      </c>
      <c r="BJ174" s="89" t="s">
        <v>1315</v>
      </c>
      <c r="BK174" s="89" t="s">
        <v>1315</v>
      </c>
      <c r="BL174" s="36" t="s">
        <v>536</v>
      </c>
    </row>
    <row r="175" spans="1:65" ht="15" customHeight="1" x14ac:dyDescent="0.3">
      <c r="C175" s="1">
        <v>409</v>
      </c>
      <c r="D175" s="6">
        <v>620</v>
      </c>
      <c r="E175" s="6">
        <v>7620</v>
      </c>
      <c r="F175" s="1" t="s">
        <v>1564</v>
      </c>
      <c r="G175" s="8" t="s">
        <v>50</v>
      </c>
      <c r="H175" s="9">
        <v>30.86</v>
      </c>
      <c r="I175" s="9">
        <v>10.97</v>
      </c>
      <c r="J175" s="9" t="s">
        <v>1315</v>
      </c>
      <c r="K175" s="1" t="s">
        <v>1703</v>
      </c>
      <c r="M175" s="2" t="s">
        <v>2002</v>
      </c>
      <c r="N175" s="1">
        <v>1</v>
      </c>
      <c r="O175" s="1">
        <v>2</v>
      </c>
      <c r="P175" s="1" t="s">
        <v>51</v>
      </c>
      <c r="Q175" s="10" t="s">
        <v>183</v>
      </c>
      <c r="R175" t="s">
        <v>2238</v>
      </c>
      <c r="S175" t="s">
        <v>2239</v>
      </c>
      <c r="T175">
        <v>89932660213</v>
      </c>
      <c r="U175" t="s">
        <v>2181</v>
      </c>
      <c r="V175" t="s">
        <v>2240</v>
      </c>
      <c r="W175">
        <v>9949330192</v>
      </c>
      <c r="X175" t="s">
        <v>2183</v>
      </c>
      <c r="Y175" t="s">
        <v>2118</v>
      </c>
      <c r="Z175" t="s">
        <v>2184</v>
      </c>
      <c r="AA175">
        <v>8</v>
      </c>
      <c r="AB175" s="6" t="s">
        <v>931</v>
      </c>
      <c r="AC175" s="2" t="s">
        <v>184</v>
      </c>
      <c r="AF175" s="14" t="s">
        <v>732</v>
      </c>
      <c r="AG175" s="5" t="s">
        <v>28</v>
      </c>
      <c r="AH175" s="5">
        <v>100</v>
      </c>
      <c r="AI175" s="6">
        <v>2</v>
      </c>
      <c r="AJ175" s="13" t="s">
        <v>1329</v>
      </c>
      <c r="AK175" s="58">
        <v>0.54166666666666696</v>
      </c>
      <c r="AL175" s="58" t="str">
        <f t="shared" si="17"/>
        <v>09:30 - 13:00</v>
      </c>
      <c r="AM175" s="151"/>
      <c r="AN175" s="95">
        <f t="shared" si="22"/>
        <v>300000</v>
      </c>
      <c r="AO175" s="94" t="b">
        <v>1</v>
      </c>
      <c r="AP175" s="34">
        <f t="shared" si="18"/>
        <v>836.6</v>
      </c>
      <c r="AQ175" s="23">
        <f t="shared" si="19"/>
        <v>2</v>
      </c>
      <c r="AR175" s="35" t="s">
        <v>48</v>
      </c>
      <c r="AW175" s="63" t="str">
        <f t="shared" si="20"/>
        <v>12:27:18</v>
      </c>
      <c r="AX175" s="152"/>
      <c r="AY175" s="160">
        <v>1</v>
      </c>
      <c r="AZ175" s="10"/>
      <c r="BA175" s="104" t="str">
        <f t="shared" si="21"/>
        <v>ШМИТОВСКИЙ-ПР-Д-10/7</v>
      </c>
      <c r="BB175" s="70">
        <f>AP175*3.6+10*60</f>
        <v>3611.76</v>
      </c>
      <c r="BD175" s="123"/>
      <c r="BE175" s="117" t="s">
        <v>1315</v>
      </c>
      <c r="BF175" s="89">
        <v>-68.151333333333355</v>
      </c>
      <c r="BG175" s="89">
        <v>-38.489333333333327</v>
      </c>
      <c r="BH175" s="89" t="s">
        <v>1315</v>
      </c>
      <c r="BI175" s="89" t="s">
        <v>1315</v>
      </c>
      <c r="BJ175" s="89">
        <v>-33.730000000000004</v>
      </c>
      <c r="BK175" s="89" t="s">
        <v>1315</v>
      </c>
      <c r="BL175" s="1" t="s">
        <v>182</v>
      </c>
    </row>
    <row r="176" spans="1:65" ht="15" customHeight="1" x14ac:dyDescent="0.3">
      <c r="C176" s="1">
        <v>132</v>
      </c>
      <c r="D176" s="6">
        <v>815</v>
      </c>
      <c r="E176" s="6">
        <v>4815</v>
      </c>
      <c r="F176" s="37" t="s">
        <v>1436</v>
      </c>
      <c r="G176" s="8" t="s">
        <v>50</v>
      </c>
      <c r="H176" s="9">
        <v>29.68</v>
      </c>
      <c r="I176" s="9">
        <v>11.13</v>
      </c>
      <c r="J176" s="9" t="s">
        <v>1315</v>
      </c>
      <c r="K176" s="1" t="s">
        <v>1703</v>
      </c>
      <c r="M176" s="2" t="s">
        <v>2015</v>
      </c>
      <c r="N176" s="1">
        <v>1</v>
      </c>
      <c r="O176" s="1">
        <v>3</v>
      </c>
      <c r="P176" s="1" t="s">
        <v>51</v>
      </c>
      <c r="Q176" s="10" t="s">
        <v>1249</v>
      </c>
      <c r="R176" t="s">
        <v>2238</v>
      </c>
      <c r="S176" t="s">
        <v>2239</v>
      </c>
      <c r="T176">
        <v>89932660213</v>
      </c>
      <c r="U176" t="s">
        <v>2181</v>
      </c>
      <c r="V176" t="s">
        <v>2240</v>
      </c>
      <c r="W176">
        <v>9949330192</v>
      </c>
      <c r="X176" t="s">
        <v>2183</v>
      </c>
      <c r="Y176" t="s">
        <v>2118</v>
      </c>
      <c r="Z176" t="s">
        <v>2184</v>
      </c>
      <c r="AA176">
        <v>8</v>
      </c>
      <c r="AB176" s="6" t="s">
        <v>806</v>
      </c>
      <c r="AC176" s="2" t="s">
        <v>321</v>
      </c>
      <c r="AF176" s="14" t="s">
        <v>732</v>
      </c>
      <c r="AG176" s="5" t="s">
        <v>28</v>
      </c>
      <c r="AH176" s="5">
        <v>100</v>
      </c>
      <c r="AI176" s="6">
        <v>2</v>
      </c>
      <c r="AJ176" s="13" t="s">
        <v>1329</v>
      </c>
      <c r="AK176" t="str">
        <f ca="1">IF((WEEKDAY(TODAY(),2))=4,"13:00","16:00")</f>
        <v>16:00</v>
      </c>
      <c r="AL176" s="58" t="str">
        <f t="shared" ca="1" si="17"/>
        <v>09:30 - 16:00</v>
      </c>
      <c r="AM176" s="151"/>
      <c r="AN176" s="95">
        <f t="shared" si="22"/>
        <v>300000</v>
      </c>
      <c r="AO176" s="94" t="b">
        <v>1</v>
      </c>
      <c r="AP176" s="34">
        <f t="shared" si="18"/>
        <v>816.2</v>
      </c>
      <c r="AQ176" s="23">
        <f t="shared" si="19"/>
        <v>2</v>
      </c>
      <c r="AR176" s="35" t="s">
        <v>48</v>
      </c>
      <c r="AU176" s="46"/>
      <c r="AW176" s="63" t="str">
        <f t="shared" si="20"/>
        <v>13:39:37</v>
      </c>
      <c r="AX176" s="152"/>
      <c r="AY176" s="160">
        <v>2</v>
      </c>
      <c r="AZ176" s="10"/>
      <c r="BA176" s="104" t="str">
        <f t="shared" si="21"/>
        <v>ГРУЗИНСКИЙ-ВАЛ-18/15</v>
      </c>
      <c r="BB176" s="70">
        <f>AP176*4+10*60</f>
        <v>3864.8</v>
      </c>
      <c r="BD176" s="123"/>
      <c r="BE176" s="117" t="s">
        <v>1315</v>
      </c>
      <c r="BF176" s="89">
        <v>-79.873333333333363</v>
      </c>
      <c r="BG176" s="89" t="s">
        <v>1315</v>
      </c>
      <c r="BH176" s="89" t="s">
        <v>1315</v>
      </c>
      <c r="BI176" s="89" t="s">
        <v>1315</v>
      </c>
      <c r="BJ176" s="89" t="s">
        <v>1315</v>
      </c>
      <c r="BK176" s="89" t="s">
        <v>1315</v>
      </c>
      <c r="BL176" s="37" t="s">
        <v>320</v>
      </c>
    </row>
    <row r="177" spans="1:65" ht="15" customHeight="1" x14ac:dyDescent="0.3">
      <c r="C177" s="1">
        <v>149</v>
      </c>
      <c r="D177" s="6">
        <v>7218</v>
      </c>
      <c r="E177" s="6">
        <v>4218</v>
      </c>
      <c r="F177" s="54" t="s">
        <v>1411</v>
      </c>
      <c r="G177" s="8" t="s">
        <v>50</v>
      </c>
      <c r="H177" s="9">
        <v>8.24</v>
      </c>
      <c r="I177" s="9">
        <v>11.01</v>
      </c>
      <c r="J177" s="9" t="s">
        <v>1315</v>
      </c>
      <c r="K177" s="1" t="s">
        <v>1703</v>
      </c>
      <c r="M177" s="2" t="s">
        <v>1852</v>
      </c>
      <c r="N177" s="1">
        <v>1</v>
      </c>
      <c r="O177" s="1">
        <v>4</v>
      </c>
      <c r="P177" s="1" t="s">
        <v>51</v>
      </c>
      <c r="Q177" s="10" t="s">
        <v>1245</v>
      </c>
      <c r="R177" t="s">
        <v>2238</v>
      </c>
      <c r="S177" t="s">
        <v>2239</v>
      </c>
      <c r="T177">
        <v>89932660213</v>
      </c>
      <c r="U177" t="s">
        <v>2181</v>
      </c>
      <c r="V177" t="s">
        <v>2240</v>
      </c>
      <c r="W177">
        <v>9949330192</v>
      </c>
      <c r="X177" t="s">
        <v>2183</v>
      </c>
      <c r="Y177" t="s">
        <v>2118</v>
      </c>
      <c r="Z177" t="s">
        <v>2184</v>
      </c>
      <c r="AA177">
        <v>8</v>
      </c>
      <c r="AB177" s="6" t="s">
        <v>814</v>
      </c>
      <c r="AC177" s="2" t="s">
        <v>1250</v>
      </c>
      <c r="AF177" s="14" t="s">
        <v>732</v>
      </c>
      <c r="AI177" s="6">
        <v>2</v>
      </c>
      <c r="AJ177" s="13" t="s">
        <v>1329</v>
      </c>
      <c r="AK177" s="162">
        <v>0.75</v>
      </c>
      <c r="AL177" s="58" t="str">
        <f t="shared" si="17"/>
        <v>09:30 - 18:00</v>
      </c>
      <c r="AM177" s="151">
        <v>2</v>
      </c>
      <c r="AN177" s="95">
        <f t="shared" si="22"/>
        <v>300000</v>
      </c>
      <c r="AO177" s="94" t="b">
        <v>1</v>
      </c>
      <c r="AP177" s="34">
        <f t="shared" si="18"/>
        <v>385</v>
      </c>
      <c r="AQ177" s="23">
        <f t="shared" si="19"/>
        <v>1</v>
      </c>
      <c r="AR177" s="35" t="s">
        <v>48</v>
      </c>
      <c r="AU177" s="46"/>
      <c r="AW177" s="63" t="str">
        <f t="shared" si="20"/>
        <v>15:11:21</v>
      </c>
      <c r="AX177" s="172"/>
      <c r="AY177" s="160">
        <v>3</v>
      </c>
      <c r="AZ177" s="10"/>
      <c r="BA177" s="104" t="str">
        <f t="shared" si="21"/>
        <v>РУСТАВЕЛИ-14</v>
      </c>
      <c r="BB177" s="85">
        <f>AP177*3.7+10*60</f>
        <v>2024.5</v>
      </c>
      <c r="BD177" s="123"/>
      <c r="BE177" s="117" t="s">
        <v>1315</v>
      </c>
      <c r="BF177" s="89" t="s">
        <v>1315</v>
      </c>
      <c r="BG177" s="89">
        <v>-12.032333333333341</v>
      </c>
      <c r="BH177" s="89">
        <v>33.109999999999992</v>
      </c>
      <c r="BI177" s="89" t="s">
        <v>1315</v>
      </c>
      <c r="BJ177" s="89">
        <v>6.1263333333333279</v>
      </c>
      <c r="BK177" s="89">
        <v>11.062000000000012</v>
      </c>
      <c r="BL177" s="54" t="s">
        <v>1244</v>
      </c>
    </row>
    <row r="178" spans="1:65" ht="15" customHeight="1" x14ac:dyDescent="0.3">
      <c r="C178" s="1">
        <v>444</v>
      </c>
      <c r="D178" s="6">
        <v>45</v>
      </c>
      <c r="E178" s="6">
        <v>7045</v>
      </c>
      <c r="F178" s="1" t="s">
        <v>1581</v>
      </c>
      <c r="G178" s="8" t="s">
        <v>50</v>
      </c>
      <c r="H178" s="9">
        <v>8.94</v>
      </c>
      <c r="I178" s="9">
        <v>6.24</v>
      </c>
      <c r="J178" s="9" t="s">
        <v>1798</v>
      </c>
      <c r="K178" s="1" t="s">
        <v>1755</v>
      </c>
      <c r="M178" s="2" t="s">
        <v>1329</v>
      </c>
      <c r="N178" s="1">
        <v>1</v>
      </c>
      <c r="O178" s="1">
        <v>1</v>
      </c>
      <c r="P178" s="1" t="s">
        <v>51</v>
      </c>
      <c r="Q178" s="10" t="s">
        <v>559</v>
      </c>
      <c r="R178" t="s">
        <v>2241</v>
      </c>
      <c r="S178" t="s">
        <v>2242</v>
      </c>
      <c r="T178">
        <v>89067609594</v>
      </c>
      <c r="U178" t="s">
        <v>2181</v>
      </c>
      <c r="V178" t="s">
        <v>2243</v>
      </c>
      <c r="W178">
        <v>9963901468</v>
      </c>
      <c r="X178" t="s">
        <v>2183</v>
      </c>
      <c r="Y178" t="s">
        <v>2118</v>
      </c>
      <c r="Z178" t="s">
        <v>2184</v>
      </c>
      <c r="AA178">
        <v>8</v>
      </c>
      <c r="AB178" s="6" t="s">
        <v>950</v>
      </c>
      <c r="AC178" s="2" t="s">
        <v>560</v>
      </c>
      <c r="AF178" s="167" t="s">
        <v>1672</v>
      </c>
      <c r="AI178" s="6">
        <v>2</v>
      </c>
      <c r="AJ178" s="13" t="s">
        <v>1329</v>
      </c>
      <c r="AK178" s="58">
        <v>0.54166666666666696</v>
      </c>
      <c r="AL178" s="58" t="str">
        <f t="shared" si="17"/>
        <v>09:30 - 13:00</v>
      </c>
      <c r="AM178" s="151">
        <v>6</v>
      </c>
      <c r="AN178" s="95">
        <f t="shared" si="22"/>
        <v>300000</v>
      </c>
      <c r="AO178" s="94" t="b">
        <v>1</v>
      </c>
      <c r="AP178" s="34">
        <f t="shared" si="18"/>
        <v>303.60000000000002</v>
      </c>
      <c r="AQ178" s="23">
        <f t="shared" si="19"/>
        <v>1</v>
      </c>
      <c r="AR178" s="35" t="s">
        <v>48</v>
      </c>
      <c r="AW178" s="63" t="str">
        <f t="shared" si="20"/>
        <v>09:30</v>
      </c>
      <c r="AX178" s="152"/>
      <c r="AY178" s="160">
        <v>1</v>
      </c>
      <c r="AZ178" s="10"/>
      <c r="BA178" s="104" t="str">
        <f t="shared" si="21"/>
        <v>ПОЛОЦКАЯ-14</v>
      </c>
      <c r="BB178" s="85">
        <f>AP178*3+10*60</f>
        <v>1510.8000000000002</v>
      </c>
      <c r="BD178" s="123"/>
      <c r="BE178" s="117" t="s">
        <v>1315</v>
      </c>
      <c r="BF178" s="89">
        <v>-3.576666666666668</v>
      </c>
      <c r="BG178" s="89" t="s">
        <v>1315</v>
      </c>
      <c r="BH178" s="89" t="s">
        <v>1315</v>
      </c>
      <c r="BI178" s="89">
        <v>-8.1433333333333309</v>
      </c>
      <c r="BJ178" s="89" t="s">
        <v>1315</v>
      </c>
      <c r="BK178" s="89">
        <v>-8.0866666666666731</v>
      </c>
      <c r="BL178" s="1" t="s">
        <v>558</v>
      </c>
    </row>
    <row r="179" spans="1:65" ht="15" customHeight="1" x14ac:dyDescent="0.3">
      <c r="C179" s="1">
        <v>503</v>
      </c>
      <c r="D179" s="6">
        <v>7093</v>
      </c>
      <c r="E179" s="6">
        <v>4093</v>
      </c>
      <c r="F179" s="10" t="s">
        <v>1595</v>
      </c>
      <c r="G179" s="8" t="s">
        <v>50</v>
      </c>
      <c r="H179" s="9">
        <v>30.43</v>
      </c>
      <c r="I179" s="9">
        <v>11.7</v>
      </c>
      <c r="J179" s="9" t="s">
        <v>1315</v>
      </c>
      <c r="K179" s="1" t="s">
        <v>1755</v>
      </c>
      <c r="M179" s="2" t="s">
        <v>2023</v>
      </c>
      <c r="N179" s="1">
        <v>1</v>
      </c>
      <c r="O179" s="1">
        <v>2</v>
      </c>
      <c r="P179" s="1" t="s">
        <v>51</v>
      </c>
      <c r="Q179" s="1" t="s">
        <v>1006</v>
      </c>
      <c r="R179" t="s">
        <v>2241</v>
      </c>
      <c r="S179" t="s">
        <v>2242</v>
      </c>
      <c r="T179">
        <v>89067609594</v>
      </c>
      <c r="U179" t="s">
        <v>2181</v>
      </c>
      <c r="V179" t="s">
        <v>2243</v>
      </c>
      <c r="W179">
        <v>9963901468</v>
      </c>
      <c r="X179" t="s">
        <v>2183</v>
      </c>
      <c r="Y179" t="s">
        <v>2118</v>
      </c>
      <c r="Z179" t="s">
        <v>2184</v>
      </c>
      <c r="AA179">
        <v>8</v>
      </c>
      <c r="AB179" s="6" t="s">
        <v>1085</v>
      </c>
      <c r="AC179" s="1" t="s">
        <v>1007</v>
      </c>
      <c r="AF179" s="167" t="s">
        <v>1672</v>
      </c>
      <c r="AH179" s="24"/>
      <c r="AI179" s="6">
        <v>2</v>
      </c>
      <c r="AJ179" s="13" t="s">
        <v>1329</v>
      </c>
      <c r="AK179" s="58">
        <v>0.54166666666666696</v>
      </c>
      <c r="AL179" s="58" t="str">
        <f t="shared" si="17"/>
        <v>09:30 - 13:00</v>
      </c>
      <c r="AM179" s="151">
        <v>6</v>
      </c>
      <c r="AN179" s="95">
        <f t="shared" si="22"/>
        <v>300000</v>
      </c>
      <c r="AO179" s="94" t="b">
        <v>1</v>
      </c>
      <c r="AP179" s="34">
        <f t="shared" si="18"/>
        <v>842.6</v>
      </c>
      <c r="AQ179" s="23">
        <f t="shared" si="19"/>
        <v>2</v>
      </c>
      <c r="AR179" s="35" t="s">
        <v>48</v>
      </c>
      <c r="AW179" s="63" t="str">
        <f t="shared" si="20"/>
        <v>10:00:52</v>
      </c>
      <c r="AX179" s="152"/>
      <c r="AY179" s="160">
        <v>1</v>
      </c>
      <c r="AZ179" s="10"/>
      <c r="BA179" s="104" t="str">
        <f t="shared" si="21"/>
        <v>ИСТРИНСКАЯ-10К1</v>
      </c>
      <c r="BB179" s="85">
        <f>AP179*3.2+10*60</f>
        <v>3296.32</v>
      </c>
      <c r="BD179" s="123"/>
      <c r="BE179" s="117" t="s">
        <v>1315</v>
      </c>
      <c r="BF179" s="89" t="s">
        <v>1315</v>
      </c>
      <c r="BG179" s="89">
        <v>3.3319999999999936</v>
      </c>
      <c r="BH179" s="89" t="s">
        <v>1315</v>
      </c>
      <c r="BI179" s="89" t="s">
        <v>1315</v>
      </c>
      <c r="BJ179" s="89" t="s">
        <v>1315</v>
      </c>
      <c r="BK179" s="89" t="s">
        <v>1315</v>
      </c>
      <c r="BL179" s="10" t="s">
        <v>1005</v>
      </c>
    </row>
    <row r="180" spans="1:65" ht="15" customHeight="1" x14ac:dyDescent="0.3">
      <c r="C180" s="1">
        <v>408</v>
      </c>
      <c r="D180" s="6">
        <v>795</v>
      </c>
      <c r="E180" s="6">
        <v>4795</v>
      </c>
      <c r="F180" s="36" t="s">
        <v>1563</v>
      </c>
      <c r="G180" s="8" t="s">
        <v>50</v>
      </c>
      <c r="H180" s="9">
        <v>14.06</v>
      </c>
      <c r="I180" s="9">
        <v>1.88</v>
      </c>
      <c r="J180" s="9" t="s">
        <v>1315</v>
      </c>
      <c r="K180" s="1" t="s">
        <v>1755</v>
      </c>
      <c r="M180" s="2" t="s">
        <v>1980</v>
      </c>
      <c r="N180" s="1">
        <v>1</v>
      </c>
      <c r="O180" s="1">
        <v>3</v>
      </c>
      <c r="P180" s="1" t="s">
        <v>51</v>
      </c>
      <c r="Q180" s="10" t="s">
        <v>512</v>
      </c>
      <c r="R180" t="s">
        <v>2241</v>
      </c>
      <c r="S180" t="s">
        <v>2242</v>
      </c>
      <c r="T180">
        <v>89067609594</v>
      </c>
      <c r="U180" t="s">
        <v>2181</v>
      </c>
      <c r="V180" t="s">
        <v>2243</v>
      </c>
      <c r="W180">
        <v>9963901468</v>
      </c>
      <c r="X180" t="s">
        <v>2183</v>
      </c>
      <c r="Y180" t="s">
        <v>2118</v>
      </c>
      <c r="Z180" t="s">
        <v>2184</v>
      </c>
      <c r="AA180">
        <v>8</v>
      </c>
      <c r="AB180" s="6" t="s">
        <v>930</v>
      </c>
      <c r="AC180" s="2" t="s">
        <v>513</v>
      </c>
      <c r="AF180" s="167" t="s">
        <v>1672</v>
      </c>
      <c r="AI180" s="6">
        <v>2</v>
      </c>
      <c r="AJ180" s="13" t="s">
        <v>1329</v>
      </c>
      <c r="AK180" s="58">
        <v>0.54166666666666696</v>
      </c>
      <c r="AL180" s="58" t="str">
        <f t="shared" si="17"/>
        <v>09:30 - 13:00</v>
      </c>
      <c r="AM180" s="151">
        <v>6</v>
      </c>
      <c r="AN180" s="95">
        <f t="shared" si="22"/>
        <v>300000</v>
      </c>
      <c r="AO180" s="94" t="b">
        <v>1</v>
      </c>
      <c r="AP180" s="34">
        <f t="shared" si="18"/>
        <v>318.79999999999995</v>
      </c>
      <c r="AQ180" s="23">
        <f t="shared" si="19"/>
        <v>1</v>
      </c>
      <c r="AR180" s="35" t="s">
        <v>48</v>
      </c>
      <c r="AW180" s="63" t="str">
        <f t="shared" si="20"/>
        <v>11:07:37</v>
      </c>
      <c r="AX180" s="152"/>
      <c r="AY180" s="160">
        <v>1</v>
      </c>
      <c r="AZ180" s="10"/>
      <c r="BA180" s="104" t="str">
        <f t="shared" si="21"/>
        <v>М-ФИЛЁВСКАЯ-18</v>
      </c>
      <c r="BB180" s="85">
        <f>AP180*3.5+10*60</f>
        <v>1715.7999999999997</v>
      </c>
      <c r="BD180" s="123"/>
      <c r="BE180" s="117" t="s">
        <v>1315</v>
      </c>
      <c r="BF180" s="89">
        <v>-23.820666666666668</v>
      </c>
      <c r="BG180" s="89" t="s">
        <v>1315</v>
      </c>
      <c r="BH180" s="89" t="s">
        <v>1315</v>
      </c>
      <c r="BI180" s="89" t="s">
        <v>1315</v>
      </c>
      <c r="BJ180" s="89" t="s">
        <v>1315</v>
      </c>
      <c r="BK180" s="89">
        <v>-22.505333333333333</v>
      </c>
      <c r="BL180" s="36" t="s">
        <v>511</v>
      </c>
    </row>
    <row r="181" spans="1:65" ht="15" customHeight="1" x14ac:dyDescent="0.3">
      <c r="C181" s="1">
        <v>443</v>
      </c>
      <c r="D181" s="6">
        <v>7021</v>
      </c>
      <c r="E181" s="6">
        <v>4021</v>
      </c>
      <c r="F181" s="36" t="s">
        <v>1580</v>
      </c>
      <c r="G181" s="8" t="s">
        <v>50</v>
      </c>
      <c r="H181" s="9">
        <v>13.129999999999999</v>
      </c>
      <c r="I181" s="9">
        <v>3.14</v>
      </c>
      <c r="J181" s="9" t="s">
        <v>1315</v>
      </c>
      <c r="K181" s="1" t="s">
        <v>1755</v>
      </c>
      <c r="M181" s="2" t="s">
        <v>1963</v>
      </c>
      <c r="N181" s="1">
        <v>1</v>
      </c>
      <c r="O181" s="1">
        <v>4</v>
      </c>
      <c r="P181" s="1" t="s">
        <v>51</v>
      </c>
      <c r="Q181" s="10" t="s">
        <v>556</v>
      </c>
      <c r="R181" t="s">
        <v>2241</v>
      </c>
      <c r="S181" t="s">
        <v>2242</v>
      </c>
      <c r="T181">
        <v>89067609594</v>
      </c>
      <c r="U181" t="s">
        <v>2181</v>
      </c>
      <c r="V181" t="s">
        <v>2243</v>
      </c>
      <c r="W181">
        <v>9963901468</v>
      </c>
      <c r="X181" t="s">
        <v>2183</v>
      </c>
      <c r="Y181" t="s">
        <v>2118</v>
      </c>
      <c r="Z181" t="s">
        <v>2184</v>
      </c>
      <c r="AA181">
        <v>8</v>
      </c>
      <c r="AB181" s="6" t="s">
        <v>949</v>
      </c>
      <c r="AC181" s="10" t="s">
        <v>557</v>
      </c>
      <c r="AF181" s="156" t="s">
        <v>1681</v>
      </c>
      <c r="AH181" s="24"/>
      <c r="AI181" s="6">
        <v>2</v>
      </c>
      <c r="AJ181" s="13" t="s">
        <v>1329</v>
      </c>
      <c r="AK181" s="58">
        <v>0.54166666666666696</v>
      </c>
      <c r="AL181" s="58" t="str">
        <f t="shared" si="17"/>
        <v>09:30 - 13:00</v>
      </c>
      <c r="AM181" s="151">
        <v>1</v>
      </c>
      <c r="AN181" s="95">
        <f t="shared" si="22"/>
        <v>300000</v>
      </c>
      <c r="AO181" s="94" t="b">
        <v>1</v>
      </c>
      <c r="AP181" s="34">
        <f t="shared" si="18"/>
        <v>325.39999999999998</v>
      </c>
      <c r="AQ181" s="23">
        <f t="shared" si="19"/>
        <v>1</v>
      </c>
      <c r="AR181" s="35" t="s">
        <v>48</v>
      </c>
      <c r="AW181" s="63" t="str">
        <f t="shared" si="20"/>
        <v>11:45:23</v>
      </c>
      <c r="AX181" s="172"/>
      <c r="AY181" s="160">
        <v>1</v>
      </c>
      <c r="AZ181" s="10"/>
      <c r="BA181" s="104" t="str">
        <f t="shared" si="21"/>
        <v>РУБЛЕВСКОЕ-Ш-16К1</v>
      </c>
      <c r="BB181" s="85">
        <f>AP181*3.5+10*60</f>
        <v>1738.8999999999999</v>
      </c>
      <c r="BD181" s="123"/>
      <c r="BE181" s="117" t="s">
        <v>1315</v>
      </c>
      <c r="BF181" s="89">
        <v>-1.1849999999999881</v>
      </c>
      <c r="BG181" s="89" t="s">
        <v>1315</v>
      </c>
      <c r="BH181" s="89" t="s">
        <v>1315</v>
      </c>
      <c r="BI181" s="89">
        <v>10.696666666666673</v>
      </c>
      <c r="BJ181" s="89">
        <v>-12.416666666666657</v>
      </c>
      <c r="BK181" s="89">
        <v>134.42500000000004</v>
      </c>
      <c r="BL181" s="36" t="s">
        <v>555</v>
      </c>
    </row>
    <row r="182" spans="1:65" ht="15" customHeight="1" x14ac:dyDescent="0.3">
      <c r="C182" s="1">
        <v>445</v>
      </c>
      <c r="D182" s="6">
        <v>7127</v>
      </c>
      <c r="E182" s="6">
        <v>4127</v>
      </c>
      <c r="F182" s="47" t="s">
        <v>1582</v>
      </c>
      <c r="G182" s="8" t="s">
        <v>50</v>
      </c>
      <c r="H182" s="9">
        <v>37.450000000000003</v>
      </c>
      <c r="I182" s="9">
        <v>16.82</v>
      </c>
      <c r="J182" s="9" t="s">
        <v>1315</v>
      </c>
      <c r="K182" s="1" t="s">
        <v>1755</v>
      </c>
      <c r="L182" s="2">
        <v>2</v>
      </c>
      <c r="M182" s="2" t="s">
        <v>1964</v>
      </c>
      <c r="N182" s="1">
        <v>1</v>
      </c>
      <c r="O182" s="1">
        <v>5</v>
      </c>
      <c r="P182" s="1" t="s">
        <v>51</v>
      </c>
      <c r="Q182" s="10" t="s">
        <v>1076</v>
      </c>
      <c r="R182" t="s">
        <v>2241</v>
      </c>
      <c r="S182" t="s">
        <v>2242</v>
      </c>
      <c r="T182">
        <v>89067609594</v>
      </c>
      <c r="U182" t="s">
        <v>2181</v>
      </c>
      <c r="V182" t="s">
        <v>2243</v>
      </c>
      <c r="W182">
        <v>9963901468</v>
      </c>
      <c r="X182" t="s">
        <v>2183</v>
      </c>
      <c r="Y182" t="s">
        <v>2118</v>
      </c>
      <c r="Z182" t="s">
        <v>2184</v>
      </c>
      <c r="AA182">
        <v>8</v>
      </c>
      <c r="AB182" s="6" t="s">
        <v>951</v>
      </c>
      <c r="AC182" s="2" t="s">
        <v>1077</v>
      </c>
      <c r="AF182" s="153" t="s">
        <v>1677</v>
      </c>
      <c r="AI182" s="6">
        <v>2</v>
      </c>
      <c r="AJ182" s="13" t="s">
        <v>1329</v>
      </c>
      <c r="AK182" s="58">
        <v>0.54166666666666696</v>
      </c>
      <c r="AL182" s="58" t="str">
        <f t="shared" si="17"/>
        <v>09:30 - 13:00</v>
      </c>
      <c r="AM182" s="151">
        <v>6</v>
      </c>
      <c r="AN182" s="95">
        <f t="shared" si="22"/>
        <v>347328</v>
      </c>
      <c r="AO182" s="94" t="b">
        <v>1</v>
      </c>
      <c r="AP182" s="34">
        <f t="shared" si="18"/>
        <v>1085.4000000000001</v>
      </c>
      <c r="AQ182" s="23">
        <f t="shared" si="19"/>
        <v>2</v>
      </c>
      <c r="AR182" s="35" t="s">
        <v>48</v>
      </c>
      <c r="AW182" s="63" t="str">
        <f t="shared" si="20"/>
        <v>12:30:52</v>
      </c>
      <c r="AX182" s="152"/>
      <c r="AY182" s="160">
        <v>1</v>
      </c>
      <c r="AZ182" s="10"/>
      <c r="BA182" s="104" t="str">
        <f t="shared" si="21"/>
        <v>АК-ПАВЛОВА-38К1</v>
      </c>
      <c r="BB182" s="85">
        <f>AP182*2.8+10*60</f>
        <v>3639.12</v>
      </c>
      <c r="BD182" s="123"/>
      <c r="BE182" s="117" t="s">
        <v>1315</v>
      </c>
      <c r="BF182" s="89" t="s">
        <v>1315</v>
      </c>
      <c r="BG182" s="89" t="s">
        <v>1315</v>
      </c>
      <c r="BH182" s="89" t="s">
        <v>1315</v>
      </c>
      <c r="BI182" s="89" t="s">
        <v>1315</v>
      </c>
      <c r="BJ182" s="89">
        <v>43.999999999999972</v>
      </c>
      <c r="BK182" s="89" t="s">
        <v>1315</v>
      </c>
      <c r="BL182" s="47" t="s">
        <v>1078</v>
      </c>
    </row>
    <row r="183" spans="1:65" ht="15" customHeight="1" x14ac:dyDescent="0.3">
      <c r="C183" s="1">
        <v>146</v>
      </c>
      <c r="D183" s="6">
        <v>693</v>
      </c>
      <c r="E183" s="6">
        <v>7693</v>
      </c>
      <c r="F183" s="1" t="s">
        <v>1476</v>
      </c>
      <c r="G183" s="8" t="s">
        <v>50</v>
      </c>
      <c r="H183" s="9">
        <v>28.78</v>
      </c>
      <c r="I183" s="9">
        <v>9.6</v>
      </c>
      <c r="J183" s="9" t="s">
        <v>1824</v>
      </c>
      <c r="K183" s="1" t="s">
        <v>1733</v>
      </c>
      <c r="L183" s="2" t="s">
        <v>57</v>
      </c>
      <c r="M183" s="2" t="s">
        <v>1329</v>
      </c>
      <c r="N183" s="1">
        <v>1</v>
      </c>
      <c r="O183" s="1">
        <v>1</v>
      </c>
      <c r="P183" s="1" t="s">
        <v>51</v>
      </c>
      <c r="Q183" s="10" t="s">
        <v>1197</v>
      </c>
      <c r="R183" t="s">
        <v>2244</v>
      </c>
      <c r="S183" t="s">
        <v>2245</v>
      </c>
      <c r="T183">
        <v>89060076172</v>
      </c>
      <c r="U183" t="s">
        <v>2181</v>
      </c>
      <c r="V183" t="s">
        <v>2246</v>
      </c>
      <c r="W183">
        <v>9949331320</v>
      </c>
      <c r="X183" t="s">
        <v>2183</v>
      </c>
      <c r="Y183" t="s">
        <v>2118</v>
      </c>
      <c r="Z183" t="s">
        <v>2184</v>
      </c>
      <c r="AA183">
        <v>8</v>
      </c>
      <c r="AB183" s="6" t="s">
        <v>813</v>
      </c>
      <c r="AC183" s="2" t="s">
        <v>331</v>
      </c>
      <c r="AF183" s="14" t="s">
        <v>732</v>
      </c>
      <c r="AG183" s="5" t="s">
        <v>28</v>
      </c>
      <c r="AH183" s="5">
        <v>100</v>
      </c>
      <c r="AI183" s="6">
        <v>2</v>
      </c>
      <c r="AJ183" s="13" t="s">
        <v>1329</v>
      </c>
      <c r="AK183" s="58">
        <v>0.5</v>
      </c>
      <c r="AL183" s="58" t="str">
        <f t="shared" si="17"/>
        <v>09:30 - 12:00</v>
      </c>
      <c r="AM183" s="151"/>
      <c r="AN183" s="96">
        <v>10000000</v>
      </c>
      <c r="AO183" s="94" t="b">
        <v>1</v>
      </c>
      <c r="AP183" s="34">
        <f t="shared" si="18"/>
        <v>767.6</v>
      </c>
      <c r="AQ183" s="23">
        <f t="shared" si="19"/>
        <v>2</v>
      </c>
      <c r="AR183" s="35" t="s">
        <v>48</v>
      </c>
      <c r="AU183" s="46"/>
      <c r="AW183" s="63" t="str">
        <f t="shared" si="20"/>
        <v>09:30</v>
      </c>
      <c r="AX183" s="152"/>
      <c r="AY183" s="160">
        <v>2</v>
      </c>
      <c r="AZ183" s="10"/>
      <c r="BA183" s="104" t="str">
        <f t="shared" si="21"/>
        <v>ЛЕНИНГРАДСКИЙ-ПР-Т-9</v>
      </c>
      <c r="BB183" s="86">
        <f>AP183*3.5+10*60</f>
        <v>3286.6</v>
      </c>
      <c r="BD183" s="123"/>
      <c r="BE183" s="117" t="s">
        <v>1315</v>
      </c>
      <c r="BF183" s="89" t="s">
        <v>1315</v>
      </c>
      <c r="BG183" s="89">
        <v>-2.4650000000000034</v>
      </c>
      <c r="BH183" s="89" t="s">
        <v>1315</v>
      </c>
      <c r="BI183" s="89" t="s">
        <v>1315</v>
      </c>
      <c r="BJ183" s="89">
        <v>-30.82</v>
      </c>
      <c r="BK183" s="89" t="s">
        <v>1315</v>
      </c>
      <c r="BL183" s="1" t="s">
        <v>330</v>
      </c>
    </row>
    <row r="184" spans="1:65" ht="15" customHeight="1" x14ac:dyDescent="0.3">
      <c r="C184" s="1">
        <v>187</v>
      </c>
      <c r="D184" s="6">
        <v>7249</v>
      </c>
      <c r="E184" s="6">
        <v>4249</v>
      </c>
      <c r="F184" s="54" t="s">
        <v>1491</v>
      </c>
      <c r="G184" s="8" t="s">
        <v>50</v>
      </c>
      <c r="H184" s="9">
        <v>24.37</v>
      </c>
      <c r="I184" s="9">
        <v>11.94</v>
      </c>
      <c r="J184" s="9" t="s">
        <v>1315</v>
      </c>
      <c r="K184" s="1" t="s">
        <v>1733</v>
      </c>
      <c r="L184" s="111"/>
      <c r="M184" s="2" t="s">
        <v>2000</v>
      </c>
      <c r="N184" s="1">
        <v>1</v>
      </c>
      <c r="O184" s="1">
        <v>2</v>
      </c>
      <c r="P184" s="1" t="s">
        <v>51</v>
      </c>
      <c r="Q184" s="10" t="s">
        <v>1344</v>
      </c>
      <c r="R184" t="s">
        <v>2244</v>
      </c>
      <c r="S184" t="s">
        <v>2245</v>
      </c>
      <c r="T184">
        <v>89060076172</v>
      </c>
      <c r="U184" t="s">
        <v>2181</v>
      </c>
      <c r="V184" t="s">
        <v>2246</v>
      </c>
      <c r="W184">
        <v>9949331320</v>
      </c>
      <c r="X184" t="s">
        <v>2183</v>
      </c>
      <c r="Y184" t="s">
        <v>2118</v>
      </c>
      <c r="Z184" t="s">
        <v>2184</v>
      </c>
      <c r="AA184">
        <v>8</v>
      </c>
      <c r="AB184" s="6" t="s">
        <v>833</v>
      </c>
      <c r="AC184" s="10" t="s">
        <v>1343</v>
      </c>
      <c r="AF184" s="167" t="s">
        <v>1672</v>
      </c>
      <c r="AI184" s="6">
        <v>2</v>
      </c>
      <c r="AJ184" s="13" t="s">
        <v>1328</v>
      </c>
      <c r="AK184" s="162">
        <v>0.70833333333333337</v>
      </c>
      <c r="AL184" s="58" t="str">
        <f t="shared" si="17"/>
        <v>09:00 - 17:00</v>
      </c>
      <c r="AM184" s="151">
        <v>1</v>
      </c>
      <c r="AN184" s="95">
        <f t="shared" ref="AN184:AN194" si="23">IF(AP184&gt;1000,(AP184*320),300000)</f>
        <v>300000</v>
      </c>
      <c r="AO184" s="94" t="b">
        <v>1</v>
      </c>
      <c r="AP184" s="34">
        <f t="shared" si="18"/>
        <v>726.2</v>
      </c>
      <c r="AQ184" s="23">
        <f t="shared" si="19"/>
        <v>2</v>
      </c>
      <c r="AR184" s="35" t="s">
        <v>48</v>
      </c>
      <c r="AW184" s="63" t="str">
        <f t="shared" si="20"/>
        <v>10:37:01</v>
      </c>
      <c r="AX184" s="172"/>
      <c r="AY184" s="160">
        <v>3</v>
      </c>
      <c r="AZ184" s="10"/>
      <c r="BA184" s="104" t="str">
        <f t="shared" si="21"/>
        <v>ЛЕНИНГРАДСКИЙ-ПР-Т-62</v>
      </c>
      <c r="BB184" s="87">
        <f>AP184*3.5+10*60</f>
        <v>3141.7000000000003</v>
      </c>
      <c r="BD184" s="123"/>
      <c r="BE184" s="117" t="s">
        <v>1315</v>
      </c>
      <c r="BF184" s="89" t="s">
        <v>1315</v>
      </c>
      <c r="BG184" s="89" t="s">
        <v>1315</v>
      </c>
      <c r="BH184" s="89">
        <v>-41.061666666666667</v>
      </c>
      <c r="BI184" s="89" t="s">
        <v>1315</v>
      </c>
      <c r="BJ184" s="89" t="s">
        <v>1315</v>
      </c>
      <c r="BK184" s="89" t="s">
        <v>1315</v>
      </c>
      <c r="BL184" s="54" t="s">
        <v>1341</v>
      </c>
    </row>
    <row r="185" spans="1:65" ht="15" customHeight="1" x14ac:dyDescent="0.3">
      <c r="C185" s="1">
        <v>195</v>
      </c>
      <c r="D185" s="6">
        <v>833</v>
      </c>
      <c r="E185" s="6">
        <v>4833</v>
      </c>
      <c r="F185" s="10" t="s">
        <v>1441</v>
      </c>
      <c r="G185" s="8" t="s">
        <v>50</v>
      </c>
      <c r="H185" s="9">
        <v>16.2</v>
      </c>
      <c r="I185" s="9">
        <v>3.02</v>
      </c>
      <c r="J185" s="9" t="s">
        <v>1315</v>
      </c>
      <c r="K185" s="1" t="s">
        <v>1733</v>
      </c>
      <c r="L185" s="2" t="s">
        <v>44</v>
      </c>
      <c r="M185" s="2" t="s">
        <v>2001</v>
      </c>
      <c r="N185" s="1">
        <v>1</v>
      </c>
      <c r="O185" s="1">
        <v>3</v>
      </c>
      <c r="P185" s="1" t="s">
        <v>51</v>
      </c>
      <c r="Q185" s="10" t="s">
        <v>114</v>
      </c>
      <c r="R185" t="s">
        <v>2244</v>
      </c>
      <c r="S185" t="s">
        <v>2245</v>
      </c>
      <c r="T185">
        <v>89060076172</v>
      </c>
      <c r="U185" t="s">
        <v>2181</v>
      </c>
      <c r="V185" t="s">
        <v>2246</v>
      </c>
      <c r="W185">
        <v>9949331320</v>
      </c>
      <c r="X185" t="s">
        <v>2183</v>
      </c>
      <c r="Y185" t="s">
        <v>2118</v>
      </c>
      <c r="Z185" t="s">
        <v>2184</v>
      </c>
      <c r="AA185">
        <v>8</v>
      </c>
      <c r="AB185" s="6" t="s">
        <v>836</v>
      </c>
      <c r="AC185" s="2" t="s">
        <v>115</v>
      </c>
      <c r="AF185" s="156" t="s">
        <v>1681</v>
      </c>
      <c r="AI185" s="6">
        <v>2</v>
      </c>
      <c r="AJ185" s="13" t="s">
        <v>1329</v>
      </c>
      <c r="AK185" s="58">
        <v>0.5</v>
      </c>
      <c r="AL185" s="58" t="str">
        <f t="shared" si="17"/>
        <v>09:30 - 12:00</v>
      </c>
      <c r="AM185" s="151">
        <v>2</v>
      </c>
      <c r="AN185" s="95">
        <f t="shared" si="23"/>
        <v>300000</v>
      </c>
      <c r="AO185" s="94" t="b">
        <v>1</v>
      </c>
      <c r="AP185" s="34">
        <f t="shared" si="18"/>
        <v>384.4</v>
      </c>
      <c r="AQ185" s="23">
        <f t="shared" si="19"/>
        <v>1</v>
      </c>
      <c r="AR185" s="35" t="s">
        <v>48</v>
      </c>
      <c r="AW185" s="63" t="str">
        <f t="shared" si="20"/>
        <v>11:32:16</v>
      </c>
      <c r="AX185" s="172"/>
      <c r="AY185" s="160">
        <v>1</v>
      </c>
      <c r="AZ185" s="10"/>
      <c r="BA185" s="104" t="str">
        <f t="shared" si="21"/>
        <v>КРАСНОАРМЕЙСКАЯ-УЛ-34А</v>
      </c>
      <c r="BB185" s="85">
        <f>AP185*3.5+10*60</f>
        <v>1945.3999999999999</v>
      </c>
      <c r="BD185" s="123"/>
      <c r="BE185" s="117">
        <v>6.1483333333333263</v>
      </c>
      <c r="BF185" s="89" t="s">
        <v>1315</v>
      </c>
      <c r="BG185" s="89" t="s">
        <v>1315</v>
      </c>
      <c r="BH185" s="89" t="s">
        <v>1315</v>
      </c>
      <c r="BI185" s="89" t="s">
        <v>1315</v>
      </c>
      <c r="BJ185" s="89">
        <v>0.57666666666671063</v>
      </c>
      <c r="BK185" s="89">
        <v>-12.276666666666671</v>
      </c>
      <c r="BL185" s="10" t="s">
        <v>113</v>
      </c>
    </row>
    <row r="186" spans="1:65" ht="15" customHeight="1" x14ac:dyDescent="0.3">
      <c r="C186" s="1">
        <v>205</v>
      </c>
      <c r="D186" s="6">
        <v>741</v>
      </c>
      <c r="E186" s="6">
        <v>4741</v>
      </c>
      <c r="F186" s="1" t="s">
        <v>1497</v>
      </c>
      <c r="G186" s="8" t="s">
        <v>50</v>
      </c>
      <c r="H186" s="9">
        <v>14.59</v>
      </c>
      <c r="I186" s="9">
        <v>4.53</v>
      </c>
      <c r="J186" s="9" t="s">
        <v>1315</v>
      </c>
      <c r="K186" s="1" t="s">
        <v>1733</v>
      </c>
      <c r="M186" s="2" t="s">
        <v>1925</v>
      </c>
      <c r="N186" s="1">
        <v>1</v>
      </c>
      <c r="O186" s="1">
        <v>4</v>
      </c>
      <c r="P186" s="1" t="s">
        <v>51</v>
      </c>
      <c r="Q186" s="10" t="s">
        <v>1198</v>
      </c>
      <c r="R186" t="s">
        <v>2244</v>
      </c>
      <c r="S186" t="s">
        <v>2245</v>
      </c>
      <c r="T186">
        <v>89060076172</v>
      </c>
      <c r="U186" t="s">
        <v>2181</v>
      </c>
      <c r="V186" t="s">
        <v>2246</v>
      </c>
      <c r="W186">
        <v>9949331320</v>
      </c>
      <c r="X186" t="s">
        <v>2183</v>
      </c>
      <c r="Y186" t="s">
        <v>2118</v>
      </c>
      <c r="Z186" t="s">
        <v>2184</v>
      </c>
      <c r="AA186">
        <v>8</v>
      </c>
      <c r="AB186" s="6" t="s">
        <v>841</v>
      </c>
      <c r="AC186" s="2" t="s">
        <v>55</v>
      </c>
      <c r="AF186" s="168" t="s">
        <v>1681</v>
      </c>
      <c r="AI186" s="6">
        <v>2</v>
      </c>
      <c r="AJ186" s="13" t="s">
        <v>1328</v>
      </c>
      <c r="AK186" s="58">
        <v>0.54166666666666696</v>
      </c>
      <c r="AL186" s="58" t="str">
        <f t="shared" si="17"/>
        <v>09:00 - 13:00</v>
      </c>
      <c r="AM186" s="151">
        <v>1</v>
      </c>
      <c r="AN186" s="95">
        <f t="shared" si="23"/>
        <v>300000</v>
      </c>
      <c r="AO186" s="94" t="b">
        <v>1</v>
      </c>
      <c r="AP186" s="34">
        <f t="shared" si="18"/>
        <v>382.40000000000003</v>
      </c>
      <c r="AQ186" s="23">
        <f t="shared" si="19"/>
        <v>1</v>
      </c>
      <c r="AR186" s="35" t="s">
        <v>48</v>
      </c>
      <c r="AW186" s="63" t="str">
        <f t="shared" si="20"/>
        <v>12:11:36</v>
      </c>
      <c r="AX186" s="172"/>
      <c r="AY186" s="160">
        <v>1</v>
      </c>
      <c r="AZ186" s="10"/>
      <c r="BA186" s="104" t="str">
        <f t="shared" si="21"/>
        <v>ЛЕНИНГРАДСКИЙ-ПР-Т-69С1</v>
      </c>
      <c r="BB186" s="85">
        <f>AP186*3+10*60</f>
        <v>1747.2</v>
      </c>
      <c r="BD186" s="123"/>
      <c r="BE186" s="117" t="s">
        <v>1315</v>
      </c>
      <c r="BF186" s="89">
        <v>-30.213333333333338</v>
      </c>
      <c r="BG186" s="89" t="s">
        <v>1315</v>
      </c>
      <c r="BH186" s="89" t="s">
        <v>1315</v>
      </c>
      <c r="BI186" s="89">
        <v>-26.373333333333335</v>
      </c>
      <c r="BJ186" s="89" t="s">
        <v>1315</v>
      </c>
      <c r="BK186" s="89" t="s">
        <v>1315</v>
      </c>
      <c r="BL186" s="1" t="s">
        <v>54</v>
      </c>
    </row>
    <row r="187" spans="1:65" ht="15" customHeight="1" x14ac:dyDescent="0.3">
      <c r="C187" s="1">
        <v>206</v>
      </c>
      <c r="D187" s="6">
        <v>907</v>
      </c>
      <c r="E187" s="6">
        <v>4907</v>
      </c>
      <c r="F187" s="37" t="s">
        <v>1498</v>
      </c>
      <c r="G187" s="8" t="s">
        <v>50</v>
      </c>
      <c r="H187" s="9">
        <v>28.06</v>
      </c>
      <c r="I187" s="9">
        <v>8.33</v>
      </c>
      <c r="J187" s="9" t="s">
        <v>1315</v>
      </c>
      <c r="K187" s="1" t="s">
        <v>1733</v>
      </c>
      <c r="M187" s="2" t="s">
        <v>1936</v>
      </c>
      <c r="N187" s="1">
        <v>1</v>
      </c>
      <c r="O187" s="1">
        <v>5</v>
      </c>
      <c r="P187" s="1" t="s">
        <v>51</v>
      </c>
      <c r="Q187" s="10" t="s">
        <v>372</v>
      </c>
      <c r="R187" t="s">
        <v>2244</v>
      </c>
      <c r="S187" t="s">
        <v>2245</v>
      </c>
      <c r="T187">
        <v>89060076172</v>
      </c>
      <c r="U187" t="s">
        <v>2181</v>
      </c>
      <c r="V187" t="s">
        <v>2246</v>
      </c>
      <c r="W187">
        <v>9949331320</v>
      </c>
      <c r="X187" t="s">
        <v>2183</v>
      </c>
      <c r="Y187" t="s">
        <v>2118</v>
      </c>
      <c r="Z187" t="s">
        <v>2184</v>
      </c>
      <c r="AA187">
        <v>8</v>
      </c>
      <c r="AB187" s="6" t="s">
        <v>842</v>
      </c>
      <c r="AC187" s="2" t="s">
        <v>373</v>
      </c>
      <c r="AD187"/>
      <c r="AE187"/>
      <c r="AF187" s="153" t="s">
        <v>1672</v>
      </c>
      <c r="AI187" s="6">
        <v>2</v>
      </c>
      <c r="AJ187" s="13" t="s">
        <v>1329</v>
      </c>
      <c r="AK187" s="58">
        <v>0.54166666666666696</v>
      </c>
      <c r="AL187" s="58" t="str">
        <f t="shared" si="17"/>
        <v>09:30 - 13:00</v>
      </c>
      <c r="AM187" s="151">
        <v>6</v>
      </c>
      <c r="AN187" s="95">
        <f t="shared" si="23"/>
        <v>300000</v>
      </c>
      <c r="AO187" s="94" t="b">
        <v>1</v>
      </c>
      <c r="AP187" s="34">
        <f t="shared" si="18"/>
        <v>727.8</v>
      </c>
      <c r="AQ187" s="23">
        <f t="shared" si="19"/>
        <v>2</v>
      </c>
      <c r="AR187" s="35" t="s">
        <v>48</v>
      </c>
      <c r="AW187" s="63" t="str">
        <f t="shared" si="20"/>
        <v>12:50:34</v>
      </c>
      <c r="AX187" s="152"/>
      <c r="AY187" s="160">
        <v>1</v>
      </c>
      <c r="AZ187" s="10"/>
      <c r="BA187" s="104" t="str">
        <f t="shared" si="21"/>
        <v>КУУСИНЕНА-4К1</v>
      </c>
      <c r="BB187" s="166">
        <f>AP187*3.5+10*60</f>
        <v>3147.2999999999997</v>
      </c>
      <c r="BD187" s="164"/>
      <c r="BE187" s="164">
        <v>-26.033333333333331</v>
      </c>
      <c r="BF187" s="165" t="s">
        <v>1315</v>
      </c>
      <c r="BG187" s="165">
        <v>4.1749999999999972</v>
      </c>
      <c r="BH187" s="165" t="s">
        <v>1315</v>
      </c>
      <c r="BI187" s="165" t="s">
        <v>1315</v>
      </c>
      <c r="BJ187" s="165">
        <v>-39.603333333333339</v>
      </c>
      <c r="BK187" s="165" t="s">
        <v>1315</v>
      </c>
      <c r="BL187" s="37" t="s">
        <v>371</v>
      </c>
    </row>
    <row r="188" spans="1:65" ht="15" customHeight="1" x14ac:dyDescent="0.3">
      <c r="C188" s="1">
        <v>102</v>
      </c>
      <c r="D188" s="6">
        <v>619</v>
      </c>
      <c r="E188" s="6">
        <v>7619</v>
      </c>
      <c r="F188" s="1" t="s">
        <v>1432</v>
      </c>
      <c r="G188" s="8" t="s">
        <v>50</v>
      </c>
      <c r="H188" s="9">
        <v>27.38</v>
      </c>
      <c r="I188" s="9">
        <v>1.34</v>
      </c>
      <c r="J188" s="9" t="s">
        <v>1818</v>
      </c>
      <c r="K188" s="1" t="s">
        <v>1740</v>
      </c>
      <c r="M188" s="2" t="s">
        <v>1327</v>
      </c>
      <c r="N188" s="1">
        <v>1</v>
      </c>
      <c r="O188" s="1">
        <v>1</v>
      </c>
      <c r="P188" s="1" t="s">
        <v>51</v>
      </c>
      <c r="Q188" s="10" t="s">
        <v>301</v>
      </c>
      <c r="R188" t="s">
        <v>2247</v>
      </c>
      <c r="S188" t="s">
        <v>2248</v>
      </c>
      <c r="T188">
        <v>89969693938</v>
      </c>
      <c r="U188" t="s">
        <v>2181</v>
      </c>
      <c r="V188" t="s">
        <v>2249</v>
      </c>
      <c r="W188">
        <v>9955446450</v>
      </c>
      <c r="X188" t="s">
        <v>2183</v>
      </c>
      <c r="Y188" t="s">
        <v>2118</v>
      </c>
      <c r="Z188" t="s">
        <v>2184</v>
      </c>
      <c r="AA188">
        <v>8</v>
      </c>
      <c r="AB188" s="6" t="s">
        <v>789</v>
      </c>
      <c r="AC188" s="2" t="s">
        <v>302</v>
      </c>
      <c r="AF188" s="167" t="s">
        <v>1672</v>
      </c>
      <c r="AH188" s="25"/>
      <c r="AI188" s="6">
        <v>2</v>
      </c>
      <c r="AJ188" s="13" t="s">
        <v>1327</v>
      </c>
      <c r="AK188" s="58">
        <v>0.375</v>
      </c>
      <c r="AL188" s="58" t="str">
        <f t="shared" si="17"/>
        <v>08:30 - 09:00</v>
      </c>
      <c r="AM188" s="151">
        <v>5</v>
      </c>
      <c r="AN188" s="95">
        <f t="shared" si="23"/>
        <v>300000</v>
      </c>
      <c r="AO188" s="94" t="b">
        <v>1</v>
      </c>
      <c r="AP188" s="34">
        <f t="shared" si="18"/>
        <v>574.4</v>
      </c>
      <c r="AQ188" s="23">
        <f t="shared" si="19"/>
        <v>2</v>
      </c>
      <c r="AR188" s="35" t="s">
        <v>48</v>
      </c>
      <c r="AU188" s="46"/>
      <c r="AW188" s="63" t="str">
        <f t="shared" si="20"/>
        <v>08:30</v>
      </c>
      <c r="AX188" s="152"/>
      <c r="AY188" s="160">
        <v>2</v>
      </c>
      <c r="AZ188" s="10"/>
      <c r="BA188" s="104" t="str">
        <f t="shared" si="21"/>
        <v>ЛЕНИНСКИЙ-ПР-Т-87</v>
      </c>
      <c r="BB188" s="85">
        <f>AP188*4+10*60</f>
        <v>2897.6</v>
      </c>
      <c r="BD188" s="123"/>
      <c r="BE188" s="117" t="s">
        <v>1315</v>
      </c>
      <c r="BF188" s="89">
        <v>-18.483333333333292</v>
      </c>
      <c r="BG188" s="89" t="s">
        <v>1315</v>
      </c>
      <c r="BH188" s="89" t="s">
        <v>1315</v>
      </c>
      <c r="BI188" s="89" t="s">
        <v>1315</v>
      </c>
      <c r="BJ188" s="89" t="s">
        <v>1315</v>
      </c>
      <c r="BK188" s="89">
        <v>-11.946666666666673</v>
      </c>
      <c r="BL188" s="1" t="s">
        <v>300</v>
      </c>
    </row>
    <row r="189" spans="1:65" ht="15" customHeight="1" x14ac:dyDescent="0.3">
      <c r="C189" s="1">
        <v>592</v>
      </c>
      <c r="D189" s="6">
        <v>745</v>
      </c>
      <c r="E189" s="6">
        <v>4745</v>
      </c>
      <c r="F189" s="1" t="s">
        <v>1630</v>
      </c>
      <c r="G189" s="8" t="s">
        <v>50</v>
      </c>
      <c r="H189" s="9">
        <v>24.200000000000003</v>
      </c>
      <c r="I189" s="9">
        <v>16.100000000000001</v>
      </c>
      <c r="J189" s="9" t="s">
        <v>1315</v>
      </c>
      <c r="K189" s="1" t="s">
        <v>1740</v>
      </c>
      <c r="L189" s="2" t="s">
        <v>44</v>
      </c>
      <c r="M189" s="2" t="s">
        <v>1933</v>
      </c>
      <c r="N189" s="1">
        <v>1</v>
      </c>
      <c r="O189" s="1">
        <v>2</v>
      </c>
      <c r="P189" s="1" t="s">
        <v>51</v>
      </c>
      <c r="Q189" s="10" t="s">
        <v>1209</v>
      </c>
      <c r="R189" t="s">
        <v>2247</v>
      </c>
      <c r="S189" t="s">
        <v>2248</v>
      </c>
      <c r="T189">
        <v>89969693938</v>
      </c>
      <c r="U189" t="s">
        <v>2181</v>
      </c>
      <c r="V189" t="s">
        <v>2249</v>
      </c>
      <c r="W189">
        <v>9955446450</v>
      </c>
      <c r="X189" t="s">
        <v>2183</v>
      </c>
      <c r="Y189" t="s">
        <v>2118</v>
      </c>
      <c r="Z189" t="s">
        <v>2184</v>
      </c>
      <c r="AA189">
        <v>8</v>
      </c>
      <c r="AB189" s="6" t="s">
        <v>1301</v>
      </c>
      <c r="AC189" s="2" t="s">
        <v>675</v>
      </c>
      <c r="AF189" s="14" t="s">
        <v>732</v>
      </c>
      <c r="AG189" s="5" t="s">
        <v>28</v>
      </c>
      <c r="AH189" s="25">
        <v>100</v>
      </c>
      <c r="AI189" s="6">
        <v>2</v>
      </c>
      <c r="AJ189" s="13" t="s">
        <v>1329</v>
      </c>
      <c r="AK189" s="58">
        <v>0.5</v>
      </c>
      <c r="AL189" s="58" t="str">
        <f t="shared" si="17"/>
        <v>09:30 - 12:00</v>
      </c>
      <c r="AM189" s="151"/>
      <c r="AN189" s="95">
        <f t="shared" si="23"/>
        <v>300000</v>
      </c>
      <c r="AO189" s="94" t="b">
        <v>1</v>
      </c>
      <c r="AP189" s="34">
        <f t="shared" si="18"/>
        <v>806</v>
      </c>
      <c r="AQ189" s="23">
        <f t="shared" si="19"/>
        <v>2</v>
      </c>
      <c r="AR189" s="35" t="s">
        <v>48</v>
      </c>
      <c r="AW189" s="63" t="str">
        <f t="shared" si="20"/>
        <v>10:00:57</v>
      </c>
      <c r="AX189" s="152"/>
      <c r="AY189" s="160">
        <v>1</v>
      </c>
      <c r="AZ189" s="10"/>
      <c r="BA189" s="104" t="str">
        <f t="shared" si="21"/>
        <v>Б-СПАСОГЛИНИЩЕВСКИЙ-ПЕР-9/1</v>
      </c>
      <c r="BB189" s="86">
        <f>AP189*3.8+10*60</f>
        <v>3662.7999999999997</v>
      </c>
      <c r="BD189" s="123"/>
      <c r="BE189" s="117" t="s">
        <v>1315</v>
      </c>
      <c r="BF189" s="89" t="s">
        <v>1315</v>
      </c>
      <c r="BG189" s="89" t="s">
        <v>1315</v>
      </c>
      <c r="BH189" s="89" t="s">
        <v>1315</v>
      </c>
      <c r="BI189" s="89" t="s">
        <v>1315</v>
      </c>
      <c r="BJ189" s="89" t="s">
        <v>1315</v>
      </c>
      <c r="BK189" s="89" t="s">
        <v>1315</v>
      </c>
      <c r="BL189" s="1" t="s">
        <v>674</v>
      </c>
    </row>
    <row r="190" spans="1:65" ht="15" customHeight="1" x14ac:dyDescent="0.3">
      <c r="C190" s="1">
        <v>602</v>
      </c>
      <c r="D190" s="6">
        <v>614</v>
      </c>
      <c r="E190" s="6">
        <v>7614</v>
      </c>
      <c r="F190" s="1" t="s">
        <v>1636</v>
      </c>
      <c r="G190" s="8" t="s">
        <v>50</v>
      </c>
      <c r="H190" s="9">
        <v>30.41</v>
      </c>
      <c r="I190" s="9">
        <v>13.23</v>
      </c>
      <c r="J190" s="9" t="s">
        <v>1315</v>
      </c>
      <c r="K190" s="1" t="s">
        <v>1740</v>
      </c>
      <c r="L190" s="2" t="s">
        <v>44</v>
      </c>
      <c r="M190" s="2" t="s">
        <v>2039</v>
      </c>
      <c r="N190" s="1">
        <v>1</v>
      </c>
      <c r="O190" s="1">
        <v>3</v>
      </c>
      <c r="P190" s="1" t="s">
        <v>51</v>
      </c>
      <c r="Q190" s="1" t="s">
        <v>175</v>
      </c>
      <c r="R190" t="s">
        <v>2247</v>
      </c>
      <c r="S190" t="s">
        <v>2248</v>
      </c>
      <c r="T190">
        <v>89969693938</v>
      </c>
      <c r="U190" t="s">
        <v>2181</v>
      </c>
      <c r="V190" t="s">
        <v>2249</v>
      </c>
      <c r="W190">
        <v>9955446450</v>
      </c>
      <c r="X190" t="s">
        <v>2183</v>
      </c>
      <c r="Y190" t="s">
        <v>2118</v>
      </c>
      <c r="Z190" t="s">
        <v>2184</v>
      </c>
      <c r="AA190">
        <v>8</v>
      </c>
      <c r="AB190" s="6" t="s">
        <v>1342</v>
      </c>
      <c r="AC190" s="2" t="s">
        <v>176</v>
      </c>
      <c r="AF190" s="14" t="s">
        <v>732</v>
      </c>
      <c r="AG190" s="5" t="s">
        <v>28</v>
      </c>
      <c r="AH190" s="5">
        <v>100</v>
      </c>
      <c r="AI190" s="6">
        <v>2</v>
      </c>
      <c r="AJ190" s="114" t="str">
        <f ca="1">IF((WEEKDAY(TODAY(),2))=6,"10:00","09:30")</f>
        <v>09:30</v>
      </c>
      <c r="AK190" s="58">
        <v>0.54166666666666696</v>
      </c>
      <c r="AL190" s="58" t="str">
        <f t="shared" ca="1" si="17"/>
        <v>09:30 - 13:00</v>
      </c>
      <c r="AM190" s="151"/>
      <c r="AN190" s="95">
        <f t="shared" si="23"/>
        <v>300000</v>
      </c>
      <c r="AO190" s="94" t="b">
        <v>1</v>
      </c>
      <c r="AP190" s="34">
        <f t="shared" si="18"/>
        <v>872.80000000000007</v>
      </c>
      <c r="AQ190" s="23">
        <f t="shared" si="19"/>
        <v>2</v>
      </c>
      <c r="AR190" s="35" t="s">
        <v>48</v>
      </c>
      <c r="AW190" s="63" t="str">
        <f t="shared" ca="1" si="20"/>
        <v>11:18:25</v>
      </c>
      <c r="AX190" s="152"/>
      <c r="AY190" s="160">
        <v>1</v>
      </c>
      <c r="AZ190" s="10"/>
      <c r="BA190" s="104" t="str">
        <f t="shared" si="21"/>
        <v>СИМОНОВСКИЙ-ВАЛ-26К1</v>
      </c>
      <c r="BB190" s="86">
        <f>AP190*3.8+10*60</f>
        <v>3916.6400000000003</v>
      </c>
      <c r="BD190" s="123"/>
      <c r="BE190" s="117" t="s">
        <v>1315</v>
      </c>
      <c r="BF190" s="89" t="s">
        <v>1315</v>
      </c>
      <c r="BG190" s="89" t="s">
        <v>1315</v>
      </c>
      <c r="BH190" s="89" t="s">
        <v>1315</v>
      </c>
      <c r="BI190" s="89" t="s">
        <v>1315</v>
      </c>
      <c r="BJ190" s="89">
        <v>-32.701333333333324</v>
      </c>
      <c r="BK190" s="89" t="s">
        <v>1315</v>
      </c>
      <c r="BL190" s="1" t="s">
        <v>174</v>
      </c>
    </row>
    <row r="191" spans="1:65" s="125" customFormat="1" ht="15" customHeight="1" x14ac:dyDescent="0.3">
      <c r="A191" s="1"/>
      <c r="B191" s="1"/>
      <c r="C191" s="1">
        <v>604</v>
      </c>
      <c r="D191" s="6">
        <v>829</v>
      </c>
      <c r="E191" s="6">
        <v>4829</v>
      </c>
      <c r="F191" s="11" t="s">
        <v>1637</v>
      </c>
      <c r="G191" s="8" t="s">
        <v>50</v>
      </c>
      <c r="H191" s="9">
        <v>28.28</v>
      </c>
      <c r="I191" s="9">
        <v>8.3699999999999992</v>
      </c>
      <c r="J191" s="9" t="s">
        <v>1315</v>
      </c>
      <c r="K191" s="1" t="s">
        <v>1740</v>
      </c>
      <c r="L191" s="2" t="s">
        <v>44</v>
      </c>
      <c r="M191" s="2" t="s">
        <v>2038</v>
      </c>
      <c r="N191" s="1">
        <v>1</v>
      </c>
      <c r="O191" s="1">
        <v>4</v>
      </c>
      <c r="P191" s="1" t="s">
        <v>51</v>
      </c>
      <c r="Q191" s="1" t="s">
        <v>1210</v>
      </c>
      <c r="R191" t="s">
        <v>2247</v>
      </c>
      <c r="S191" t="s">
        <v>2248</v>
      </c>
      <c r="T191">
        <v>89969693938</v>
      </c>
      <c r="U191" t="s">
        <v>2181</v>
      </c>
      <c r="V191" t="s">
        <v>2249</v>
      </c>
      <c r="W191">
        <v>9955446450</v>
      </c>
      <c r="X191" t="s">
        <v>2183</v>
      </c>
      <c r="Y191" t="s">
        <v>2118</v>
      </c>
      <c r="Z191" t="s">
        <v>2184</v>
      </c>
      <c r="AA191">
        <v>8</v>
      </c>
      <c r="AB191" s="6" t="s">
        <v>1353</v>
      </c>
      <c r="AC191" s="2" t="s">
        <v>688</v>
      </c>
      <c r="AD191" s="48"/>
      <c r="AE191" s="48"/>
      <c r="AF191" s="14" t="s">
        <v>732</v>
      </c>
      <c r="AG191" s="5" t="s">
        <v>28</v>
      </c>
      <c r="AH191" s="5">
        <v>100</v>
      </c>
      <c r="AI191" s="6">
        <v>2</v>
      </c>
      <c r="AJ191" s="13" t="s">
        <v>1329</v>
      </c>
      <c r="AK191" s="58">
        <v>0.54166666666666696</v>
      </c>
      <c r="AL191" s="58" t="str">
        <f t="shared" si="17"/>
        <v>09:30 - 13:00</v>
      </c>
      <c r="AM191" s="151"/>
      <c r="AN191" s="95">
        <f t="shared" si="23"/>
        <v>300000</v>
      </c>
      <c r="AO191" s="94" t="b">
        <v>1</v>
      </c>
      <c r="AP191" s="34">
        <f t="shared" si="18"/>
        <v>733</v>
      </c>
      <c r="AQ191" s="23">
        <f t="shared" si="19"/>
        <v>2</v>
      </c>
      <c r="AR191" s="35" t="s">
        <v>48</v>
      </c>
      <c r="AS191" s="1"/>
      <c r="AT191" s="1"/>
      <c r="AU191" s="44"/>
      <c r="AV191" s="1"/>
      <c r="AW191" s="63" t="str">
        <f t="shared" si="20"/>
        <v>12:28:41</v>
      </c>
      <c r="AX191" s="152"/>
      <c r="AY191" s="160">
        <v>1</v>
      </c>
      <c r="AZ191" s="10"/>
      <c r="BA191" s="104" t="str">
        <f t="shared" si="21"/>
        <v>АВТОЗАВОДСКАЯ-8</v>
      </c>
      <c r="BB191" s="86">
        <f>AP191*3.8+10*60</f>
        <v>3385.4</v>
      </c>
      <c r="BC191" s="110"/>
      <c r="BD191" s="123"/>
      <c r="BE191" s="117">
        <v>-5.0406666666666666</v>
      </c>
      <c r="BF191" s="89" t="s">
        <v>1315</v>
      </c>
      <c r="BG191" s="89" t="s">
        <v>1315</v>
      </c>
      <c r="BH191" s="89" t="s">
        <v>1315</v>
      </c>
      <c r="BI191" s="89" t="s">
        <v>1315</v>
      </c>
      <c r="BJ191" s="89" t="s">
        <v>1315</v>
      </c>
      <c r="BK191" s="89" t="s">
        <v>1315</v>
      </c>
      <c r="BL191" s="11" t="s">
        <v>687</v>
      </c>
      <c r="BM191" s="1"/>
    </row>
    <row r="192" spans="1:65" ht="15" customHeight="1" x14ac:dyDescent="0.3">
      <c r="C192" s="1">
        <v>510</v>
      </c>
      <c r="D192" s="6">
        <v>7049</v>
      </c>
      <c r="E192" s="6">
        <v>4049</v>
      </c>
      <c r="F192" s="1" t="s">
        <v>1599</v>
      </c>
      <c r="G192" s="8" t="s">
        <v>50</v>
      </c>
      <c r="H192" s="9">
        <v>6.08</v>
      </c>
      <c r="I192" s="9">
        <v>3.48</v>
      </c>
      <c r="J192" s="9" t="s">
        <v>1826</v>
      </c>
      <c r="K192" s="1" t="s">
        <v>1764</v>
      </c>
      <c r="M192" s="2" t="s">
        <v>2019</v>
      </c>
      <c r="N192" s="1">
        <v>1</v>
      </c>
      <c r="O192" s="1">
        <v>1</v>
      </c>
      <c r="P192" s="1" t="s">
        <v>51</v>
      </c>
      <c r="Q192" s="1" t="s">
        <v>734</v>
      </c>
      <c r="R192" t="s">
        <v>2250</v>
      </c>
      <c r="S192" t="s">
        <v>2251</v>
      </c>
      <c r="T192">
        <v>89771088432</v>
      </c>
      <c r="U192" t="s">
        <v>2181</v>
      </c>
      <c r="V192" t="s">
        <v>2252</v>
      </c>
      <c r="W192">
        <v>9949331742</v>
      </c>
      <c r="X192" t="s">
        <v>2183</v>
      </c>
      <c r="Y192" t="s">
        <v>2118</v>
      </c>
      <c r="Z192" t="s">
        <v>2184</v>
      </c>
      <c r="AA192">
        <v>8</v>
      </c>
      <c r="AB192" s="6" t="s">
        <v>1098</v>
      </c>
      <c r="AC192" s="1" t="s">
        <v>735</v>
      </c>
      <c r="AF192" s="154" t="s">
        <v>1672</v>
      </c>
      <c r="AI192" s="6">
        <v>2</v>
      </c>
      <c r="AJ192" s="13" t="s">
        <v>1329</v>
      </c>
      <c r="AK192" s="142" t="str">
        <f>IF(AP192&gt;2000,"15:00",IF(AP192&lt;1000,"16:30","16:00"))</f>
        <v>16:30</v>
      </c>
      <c r="AL192" s="58" t="str">
        <f t="shared" si="17"/>
        <v>09:30 - 16:30</v>
      </c>
      <c r="AM192" s="151">
        <v>5</v>
      </c>
      <c r="AN192" s="95">
        <f t="shared" si="23"/>
        <v>300000</v>
      </c>
      <c r="AO192" s="94" t="b">
        <v>1</v>
      </c>
      <c r="AP192" s="34">
        <f t="shared" si="18"/>
        <v>191.2</v>
      </c>
      <c r="AQ192" s="23">
        <f t="shared" si="19"/>
        <v>1</v>
      </c>
      <c r="AR192" s="35" t="s">
        <v>48</v>
      </c>
      <c r="AW192" s="63" t="str">
        <f t="shared" si="20"/>
        <v>14:08:57</v>
      </c>
      <c r="AX192" s="152"/>
      <c r="AY192" s="160">
        <v>2</v>
      </c>
      <c r="AZ192" s="10"/>
      <c r="BA192" s="104" t="str">
        <f t="shared" si="21"/>
        <v>НИКУЛИНСКАЯ-8К2</v>
      </c>
      <c r="BB192" s="87">
        <f>AP192*3.5+10*60</f>
        <v>1269.1999999999998</v>
      </c>
      <c r="BD192" s="123"/>
      <c r="BE192" s="117" t="s">
        <v>1315</v>
      </c>
      <c r="BF192" s="89" t="s">
        <v>1315</v>
      </c>
      <c r="BG192" s="89" t="s">
        <v>1315</v>
      </c>
      <c r="BH192" s="89" t="s">
        <v>1315</v>
      </c>
      <c r="BI192" s="89">
        <v>8.2766666666666708</v>
      </c>
      <c r="BJ192" s="89" t="s">
        <v>1315</v>
      </c>
      <c r="BK192" s="89" t="s">
        <v>1315</v>
      </c>
      <c r="BL192" s="1" t="s">
        <v>733</v>
      </c>
    </row>
    <row r="193" spans="1:65" ht="15" customHeight="1" x14ac:dyDescent="0.3">
      <c r="C193" s="1">
        <v>137</v>
      </c>
      <c r="D193" s="6">
        <v>796</v>
      </c>
      <c r="E193" s="6">
        <v>4796</v>
      </c>
      <c r="F193" s="10" t="s">
        <v>1409</v>
      </c>
      <c r="G193" s="8" t="s">
        <v>50</v>
      </c>
      <c r="H193" s="9">
        <v>41.35</v>
      </c>
      <c r="I193" s="9">
        <v>13.55</v>
      </c>
      <c r="J193" s="9" t="s">
        <v>1315</v>
      </c>
      <c r="K193" s="1" t="s">
        <v>1764</v>
      </c>
      <c r="M193" s="2" t="s">
        <v>1998</v>
      </c>
      <c r="N193" s="1">
        <v>1</v>
      </c>
      <c r="O193" s="1">
        <v>2</v>
      </c>
      <c r="P193" s="1" t="s">
        <v>51</v>
      </c>
      <c r="Q193" s="10" t="s">
        <v>1248</v>
      </c>
      <c r="R193" t="s">
        <v>2250</v>
      </c>
      <c r="S193" t="s">
        <v>2251</v>
      </c>
      <c r="T193">
        <v>89771088432</v>
      </c>
      <c r="U193" t="s">
        <v>2181</v>
      </c>
      <c r="V193" t="s">
        <v>2252</v>
      </c>
      <c r="W193">
        <v>9949331742</v>
      </c>
      <c r="X193" t="s">
        <v>2183</v>
      </c>
      <c r="Y193" t="s">
        <v>2118</v>
      </c>
      <c r="Z193" t="s">
        <v>2184</v>
      </c>
      <c r="AA193">
        <v>8</v>
      </c>
      <c r="AB193" s="6" t="s">
        <v>808</v>
      </c>
      <c r="AC193" s="2" t="s">
        <v>105</v>
      </c>
      <c r="AF193" s="14" t="s">
        <v>732</v>
      </c>
      <c r="AG193" s="5" t="s">
        <v>28</v>
      </c>
      <c r="AH193" s="5">
        <v>100</v>
      </c>
      <c r="AI193" s="6">
        <v>2</v>
      </c>
      <c r="AJ193" s="13" t="s">
        <v>1329</v>
      </c>
      <c r="AK193" s="142" t="str">
        <f>IF(AP193&gt;2000,"15:00",IF(AP193&lt;1000,"16:30","16:00"))</f>
        <v>16:00</v>
      </c>
      <c r="AL193" s="58" t="str">
        <f t="shared" si="17"/>
        <v>09:30 - 16:00</v>
      </c>
      <c r="AM193" s="151"/>
      <c r="AN193" s="95">
        <f t="shared" si="23"/>
        <v>351360</v>
      </c>
      <c r="AO193" s="94" t="b">
        <v>1</v>
      </c>
      <c r="AP193" s="34">
        <f t="shared" si="18"/>
        <v>1098</v>
      </c>
      <c r="AQ193" s="23">
        <f t="shared" si="19"/>
        <v>2</v>
      </c>
      <c r="AR193" s="35" t="s">
        <v>48</v>
      </c>
      <c r="AU193" s="46"/>
      <c r="AW193" s="63" t="str">
        <f t="shared" si="20"/>
        <v>15:28:22</v>
      </c>
      <c r="AX193" s="152"/>
      <c r="AY193" s="160">
        <v>2</v>
      </c>
      <c r="AZ193" s="10"/>
      <c r="BA193" s="104" t="str">
        <f t="shared" si="21"/>
        <v>ЧАЯНОВА-12</v>
      </c>
      <c r="BB193" s="70">
        <f>AP193*3.8+10*60</f>
        <v>4772.3999999999996</v>
      </c>
      <c r="BD193" s="123"/>
      <c r="BE193" s="117" t="s">
        <v>1315</v>
      </c>
      <c r="BF193" s="89" t="s">
        <v>1315</v>
      </c>
      <c r="BG193" s="89" t="s">
        <v>1315</v>
      </c>
      <c r="BH193" s="89" t="s">
        <v>1315</v>
      </c>
      <c r="BI193" s="89">
        <v>-6.7813333333333361</v>
      </c>
      <c r="BJ193" s="89" t="s">
        <v>1315</v>
      </c>
      <c r="BK193" s="89" t="s">
        <v>1315</v>
      </c>
      <c r="BL193" s="10" t="s">
        <v>104</v>
      </c>
    </row>
    <row r="194" spans="1:65" ht="15" customHeight="1" x14ac:dyDescent="0.3">
      <c r="C194" s="1">
        <v>153</v>
      </c>
      <c r="D194" s="6">
        <v>7001</v>
      </c>
      <c r="E194" s="6">
        <v>4001</v>
      </c>
      <c r="F194" s="10" t="s">
        <v>1458</v>
      </c>
      <c r="G194" s="8" t="s">
        <v>50</v>
      </c>
      <c r="H194" s="9">
        <v>41.47</v>
      </c>
      <c r="I194" s="9">
        <v>14.24</v>
      </c>
      <c r="J194" s="9" t="s">
        <v>1315</v>
      </c>
      <c r="K194" s="1" t="s">
        <v>1764</v>
      </c>
      <c r="L194" s="2">
        <v>2</v>
      </c>
      <c r="M194" s="2" t="s">
        <v>1990</v>
      </c>
      <c r="N194" s="1">
        <v>1</v>
      </c>
      <c r="O194" s="1">
        <v>3</v>
      </c>
      <c r="P194" s="1" t="s">
        <v>51</v>
      </c>
      <c r="Q194" s="10" t="s">
        <v>334</v>
      </c>
      <c r="R194" t="s">
        <v>2250</v>
      </c>
      <c r="S194" t="s">
        <v>2251</v>
      </c>
      <c r="T194">
        <v>89771088432</v>
      </c>
      <c r="U194" t="s">
        <v>2181</v>
      </c>
      <c r="V194" t="s">
        <v>2252</v>
      </c>
      <c r="W194">
        <v>9949331742</v>
      </c>
      <c r="X194" t="s">
        <v>2183</v>
      </c>
      <c r="Y194" t="s">
        <v>2118</v>
      </c>
      <c r="Z194" t="s">
        <v>2184</v>
      </c>
      <c r="AA194">
        <v>8</v>
      </c>
      <c r="AB194" s="6" t="s">
        <v>817</v>
      </c>
      <c r="AC194" s="2" t="s">
        <v>335</v>
      </c>
      <c r="AF194" s="153" t="s">
        <v>1677</v>
      </c>
      <c r="AI194" s="6">
        <v>2</v>
      </c>
      <c r="AJ194" s="13" t="s">
        <v>1329</v>
      </c>
      <c r="AK194" s="162">
        <v>0.75</v>
      </c>
      <c r="AL194" s="58" t="str">
        <f t="shared" si="17"/>
        <v>09:30 - 18:00</v>
      </c>
      <c r="AM194" s="151">
        <v>2</v>
      </c>
      <c r="AN194" s="95">
        <f t="shared" si="23"/>
        <v>356544</v>
      </c>
      <c r="AO194" s="94" t="b">
        <v>1</v>
      </c>
      <c r="AP194" s="34">
        <f t="shared" si="18"/>
        <v>1114.2</v>
      </c>
      <c r="AQ194" s="23">
        <f t="shared" si="19"/>
        <v>2</v>
      </c>
      <c r="AR194" s="35" t="s">
        <v>48</v>
      </c>
      <c r="AU194" s="46"/>
      <c r="AW194" s="63" t="str">
        <f t="shared" si="20"/>
        <v>17:13:40</v>
      </c>
      <c r="AX194" s="172"/>
      <c r="AY194" s="160">
        <v>3</v>
      </c>
      <c r="AZ194" s="10"/>
      <c r="BA194" s="104" t="str">
        <f t="shared" si="21"/>
        <v>ДМИТРОВСКОЕ-Ш-70</v>
      </c>
      <c r="BB194" s="85">
        <f>AP194*5.7+10*60</f>
        <v>6950.9400000000005</v>
      </c>
      <c r="BD194" s="123"/>
      <c r="BE194" s="117" t="s">
        <v>1315</v>
      </c>
      <c r="BF194" s="89" t="s">
        <v>1315</v>
      </c>
      <c r="BG194" s="89" t="s">
        <v>1315</v>
      </c>
      <c r="BH194" s="89" t="s">
        <v>1315</v>
      </c>
      <c r="BI194" s="89" t="s">
        <v>1315</v>
      </c>
      <c r="BJ194" s="89" t="s">
        <v>1315</v>
      </c>
      <c r="BK194" s="89" t="s">
        <v>1315</v>
      </c>
      <c r="BL194" s="10" t="s">
        <v>333</v>
      </c>
    </row>
    <row r="195" spans="1:65" s="125" customFormat="1" ht="15" customHeight="1" x14ac:dyDescent="0.3">
      <c r="A195" s="1"/>
      <c r="B195" s="1"/>
      <c r="C195" s="1">
        <v>234</v>
      </c>
      <c r="D195" s="6">
        <v>7133</v>
      </c>
      <c r="E195" s="6">
        <v>4133</v>
      </c>
      <c r="F195" s="64" t="s">
        <v>1508</v>
      </c>
      <c r="G195" s="136">
        <v>305</v>
      </c>
      <c r="H195" s="9">
        <v>12.23</v>
      </c>
      <c r="I195" s="9">
        <v>11</v>
      </c>
      <c r="J195" s="9" t="s">
        <v>1315</v>
      </c>
      <c r="K195" s="1" t="s">
        <v>1764</v>
      </c>
      <c r="L195" s="60" t="s">
        <v>1255</v>
      </c>
      <c r="M195" s="2" t="s">
        <v>1331</v>
      </c>
      <c r="N195" s="1">
        <v>1</v>
      </c>
      <c r="O195" s="1">
        <v>4</v>
      </c>
      <c r="P195" s="1" t="s">
        <v>387</v>
      </c>
      <c r="Q195" s="10" t="s">
        <v>1090</v>
      </c>
      <c r="R195" t="s">
        <v>2250</v>
      </c>
      <c r="S195" t="s">
        <v>2251</v>
      </c>
      <c r="T195">
        <v>89771088432</v>
      </c>
      <c r="U195" t="s">
        <v>2181</v>
      </c>
      <c r="V195" t="s">
        <v>2252</v>
      </c>
      <c r="W195">
        <v>9949331742</v>
      </c>
      <c r="X195" t="s">
        <v>2183</v>
      </c>
      <c r="Y195" t="s">
        <v>2118</v>
      </c>
      <c r="Z195" t="s">
        <v>2184</v>
      </c>
      <c r="AA195">
        <v>8</v>
      </c>
      <c r="AB195" s="6" t="s">
        <v>854</v>
      </c>
      <c r="AC195" s="10" t="s">
        <v>1091</v>
      </c>
      <c r="AD195" s="48"/>
      <c r="AE195" s="48"/>
      <c r="AF195" s="14" t="s">
        <v>1690</v>
      </c>
      <c r="AG195" s="5"/>
      <c r="AH195" s="5"/>
      <c r="AI195" s="6">
        <v>2</v>
      </c>
      <c r="AJ195" s="13" t="s">
        <v>1331</v>
      </c>
      <c r="AK195" s="115" t="s">
        <v>1336</v>
      </c>
      <c r="AL195" s="58" t="str">
        <f t="shared" si="17"/>
        <v>22:00 - 22:30</v>
      </c>
      <c r="AM195" s="151">
        <v>1</v>
      </c>
      <c r="AN195" s="98">
        <v>100000000</v>
      </c>
      <c r="AO195" s="94" t="b">
        <v>1</v>
      </c>
      <c r="AP195" s="34">
        <f t="shared" si="18"/>
        <v>464.6</v>
      </c>
      <c r="AQ195" s="23">
        <f t="shared" si="19"/>
        <v>1</v>
      </c>
      <c r="AR195" s="35" t="s">
        <v>48</v>
      </c>
      <c r="AS195" s="1"/>
      <c r="AT195" s="1"/>
      <c r="AU195" s="44"/>
      <c r="AV195" s="1"/>
      <c r="AW195" s="63" t="str">
        <f t="shared" si="20"/>
        <v>22:00</v>
      </c>
      <c r="AX195" s="172"/>
      <c r="AY195" s="160">
        <v>1</v>
      </c>
      <c r="AZ195" s="10"/>
      <c r="BA195" s="104" t="str">
        <f t="shared" si="21"/>
        <v>ЗЕЛЕНОГРАД-КРЮКОВСКАЯ-ПЛ-1</v>
      </c>
      <c r="BB195" s="87">
        <f>AP195*3.5+10*60</f>
        <v>2226.1000000000004</v>
      </c>
      <c r="BC195" s="110"/>
      <c r="BD195" s="123"/>
      <c r="BE195" s="117" t="s">
        <v>1315</v>
      </c>
      <c r="BF195" s="89" t="s">
        <v>1315</v>
      </c>
      <c r="BG195" s="89" t="s">
        <v>1315</v>
      </c>
      <c r="BH195" s="89" t="s">
        <v>1315</v>
      </c>
      <c r="BI195" s="89" t="s">
        <v>1315</v>
      </c>
      <c r="BJ195" s="89" t="s">
        <v>1315</v>
      </c>
      <c r="BK195" s="89" t="s">
        <v>1315</v>
      </c>
      <c r="BL195" s="64" t="s">
        <v>1089</v>
      </c>
      <c r="BM195" s="1"/>
    </row>
    <row r="196" spans="1:65" ht="15" customHeight="1" x14ac:dyDescent="0.3">
      <c r="C196" s="1">
        <v>130</v>
      </c>
      <c r="D196" s="6">
        <v>734</v>
      </c>
      <c r="E196" s="6">
        <v>4734</v>
      </c>
      <c r="F196" s="1" t="s">
        <v>1473</v>
      </c>
      <c r="G196" s="8" t="s">
        <v>50</v>
      </c>
      <c r="H196" s="9">
        <v>25.439999999999998</v>
      </c>
      <c r="I196" s="9">
        <v>9.0500000000000007</v>
      </c>
      <c r="J196" s="9" t="s">
        <v>1815</v>
      </c>
      <c r="K196" s="1" t="s">
        <v>1734</v>
      </c>
      <c r="M196" s="2" t="s">
        <v>1328</v>
      </c>
      <c r="N196" s="1">
        <v>1</v>
      </c>
      <c r="O196" s="1">
        <v>1</v>
      </c>
      <c r="P196" s="1" t="s">
        <v>51</v>
      </c>
      <c r="Q196" s="10" t="s">
        <v>318</v>
      </c>
      <c r="R196" t="s">
        <v>2253</v>
      </c>
      <c r="S196" t="s">
        <v>2254</v>
      </c>
      <c r="T196">
        <v>89853582851</v>
      </c>
      <c r="U196" t="s">
        <v>2181</v>
      </c>
      <c r="V196" t="s">
        <v>2255</v>
      </c>
      <c r="W196">
        <v>9955579959</v>
      </c>
      <c r="X196" t="s">
        <v>2216</v>
      </c>
      <c r="Y196" t="s">
        <v>2118</v>
      </c>
      <c r="Z196" t="s">
        <v>2184</v>
      </c>
      <c r="AA196">
        <v>8</v>
      </c>
      <c r="AB196" s="6" t="s">
        <v>805</v>
      </c>
      <c r="AC196" s="2" t="s">
        <v>319</v>
      </c>
      <c r="AF196" s="14" t="s">
        <v>732</v>
      </c>
      <c r="AG196" s="5" t="s">
        <v>28</v>
      </c>
      <c r="AH196" s="5">
        <v>100</v>
      </c>
      <c r="AI196" s="6">
        <v>2</v>
      </c>
      <c r="AJ196" s="13" t="s">
        <v>1328</v>
      </c>
      <c r="AK196" s="58">
        <v>0.54166666666666696</v>
      </c>
      <c r="AL196" s="58" t="str">
        <f t="shared" si="17"/>
        <v>09:00 - 13:00</v>
      </c>
      <c r="AM196" s="151"/>
      <c r="AN196" s="95">
        <f t="shared" ref="AN196:AN227" si="24">IF(AP196&gt;1000,(AP196*320),300000)</f>
        <v>300000</v>
      </c>
      <c r="AO196" s="94" t="b">
        <v>1</v>
      </c>
      <c r="AP196" s="34">
        <f t="shared" si="18"/>
        <v>689.8</v>
      </c>
      <c r="AQ196" s="23">
        <f t="shared" si="19"/>
        <v>2</v>
      </c>
      <c r="AR196" s="35" t="s">
        <v>48</v>
      </c>
      <c r="AU196" s="46"/>
      <c r="AW196" s="63" t="str">
        <f t="shared" si="20"/>
        <v>09:00</v>
      </c>
      <c r="AX196" s="152"/>
      <c r="AY196" s="160">
        <v>1</v>
      </c>
      <c r="AZ196" s="10"/>
      <c r="BA196" s="104" t="str">
        <f t="shared" si="21"/>
        <v>ПРЕСНЕНСКИЙ-ВАЛ-8К1</v>
      </c>
      <c r="BB196" s="85">
        <f>AP196*3+10*60</f>
        <v>2669.3999999999996</v>
      </c>
      <c r="BD196" s="123"/>
      <c r="BE196" s="117" t="s">
        <v>1315</v>
      </c>
      <c r="BF196" s="89" t="s">
        <v>1315</v>
      </c>
      <c r="BG196" s="89">
        <v>17.486666666666665</v>
      </c>
      <c r="BH196" s="89" t="s">
        <v>1315</v>
      </c>
      <c r="BI196" s="89" t="s">
        <v>1315</v>
      </c>
      <c r="BJ196" s="89" t="s">
        <v>1315</v>
      </c>
      <c r="BK196" s="89" t="s">
        <v>1315</v>
      </c>
      <c r="BL196" s="1" t="s">
        <v>317</v>
      </c>
    </row>
    <row r="197" spans="1:65" ht="15" customHeight="1" x14ac:dyDescent="0.3">
      <c r="C197" s="1">
        <v>133</v>
      </c>
      <c r="D197" s="6">
        <v>856</v>
      </c>
      <c r="E197" s="6">
        <v>4856</v>
      </c>
      <c r="F197" s="10" t="s">
        <v>1474</v>
      </c>
      <c r="G197" s="8" t="s">
        <v>50</v>
      </c>
      <c r="H197" s="9">
        <v>5.93</v>
      </c>
      <c r="I197" s="9">
        <v>1.87</v>
      </c>
      <c r="J197" s="9" t="s">
        <v>1315</v>
      </c>
      <c r="K197" s="1" t="s">
        <v>1734</v>
      </c>
      <c r="M197" s="2" t="s">
        <v>1996</v>
      </c>
      <c r="N197" s="1">
        <v>1</v>
      </c>
      <c r="O197" s="1">
        <v>2</v>
      </c>
      <c r="P197" s="1" t="s">
        <v>51</v>
      </c>
      <c r="Q197" s="10" t="s">
        <v>708</v>
      </c>
      <c r="R197" t="s">
        <v>2253</v>
      </c>
      <c r="S197" t="s">
        <v>2254</v>
      </c>
      <c r="T197">
        <v>89853582851</v>
      </c>
      <c r="U197" t="s">
        <v>2181</v>
      </c>
      <c r="V197" t="s">
        <v>2255</v>
      </c>
      <c r="W197">
        <v>9955579959</v>
      </c>
      <c r="X197" t="s">
        <v>2216</v>
      </c>
      <c r="Y197" t="s">
        <v>2118</v>
      </c>
      <c r="Z197" t="s">
        <v>2184</v>
      </c>
      <c r="AA197">
        <v>8</v>
      </c>
      <c r="AB197" s="6" t="s">
        <v>807</v>
      </c>
      <c r="AC197" s="2" t="s">
        <v>1061</v>
      </c>
      <c r="AF197" s="14" t="s">
        <v>732</v>
      </c>
      <c r="AG197" s="5" t="s">
        <v>28</v>
      </c>
      <c r="AH197" s="5">
        <v>100</v>
      </c>
      <c r="AI197" s="6">
        <v>2</v>
      </c>
      <c r="AJ197" s="13" t="s">
        <v>1328</v>
      </c>
      <c r="AK197" s="58">
        <v>0.54166666666666696</v>
      </c>
      <c r="AL197" s="58" t="str">
        <f t="shared" ref="AL197:AL261" si="25">CONCATENATE(TEXT(AJ197,"ЧЧ:ММ")," ","-"," ",TEXT(AK197,"ЧЧ:ММ"))</f>
        <v>09:00 - 13:00</v>
      </c>
      <c r="AM197" s="151"/>
      <c r="AN197" s="95">
        <f t="shared" si="24"/>
        <v>300000</v>
      </c>
      <c r="AO197" s="94" t="b">
        <v>1</v>
      </c>
      <c r="AP197" s="34">
        <f t="shared" ref="AP197:AP261" si="26">H197*20+I197*20</f>
        <v>156</v>
      </c>
      <c r="AQ197" s="23">
        <f t="shared" ref="AQ197:AQ261" si="27">IF(AP197&gt;520,ROUNDUP(((H197*20)/560+(I197*20)/550),0),IF(SUM(H197:I197)=0,0,IF(AP197&lt;255,1,ROUND(((H197*20)/520+(I197*20)/450),0))))</f>
        <v>1</v>
      </c>
      <c r="AR197" s="35" t="s">
        <v>48</v>
      </c>
      <c r="AU197" s="46"/>
      <c r="AW197" s="63" t="str">
        <f t="shared" ref="AW197:AW261" si="28">IF(TIMEVALUE(M197)&lt;TIMEVALUE(AJ197),AJ197,M197)</f>
        <v>09:50:46</v>
      </c>
      <c r="AX197" s="152"/>
      <c r="AY197" s="160">
        <v>1</v>
      </c>
      <c r="AZ197" s="10"/>
      <c r="BA197" s="104" t="str">
        <f t="shared" ref="BA197:BA261" si="29">F197</f>
        <v>Б-ГРУЗИНСКАЯ-37</v>
      </c>
      <c r="BB197" s="86">
        <f>AP197*4.5+10*60</f>
        <v>1302</v>
      </c>
      <c r="BD197" s="123"/>
      <c r="BE197" s="117" t="s">
        <v>1315</v>
      </c>
      <c r="BF197" s="89" t="s">
        <v>1315</v>
      </c>
      <c r="BG197" s="89" t="s">
        <v>1315</v>
      </c>
      <c r="BH197" s="89" t="s">
        <v>1315</v>
      </c>
      <c r="BI197" s="89" t="s">
        <v>1315</v>
      </c>
      <c r="BJ197" s="89" t="s">
        <v>1315</v>
      </c>
      <c r="BK197" s="89">
        <v>-36.208333333333329</v>
      </c>
      <c r="BL197" s="10" t="s">
        <v>322</v>
      </c>
    </row>
    <row r="198" spans="1:65" ht="15" customHeight="1" x14ac:dyDescent="0.3">
      <c r="C198" s="1">
        <v>141</v>
      </c>
      <c r="D198" s="6">
        <v>7037</v>
      </c>
      <c r="E198" s="6">
        <v>4037</v>
      </c>
      <c r="F198" s="1" t="s">
        <v>1437</v>
      </c>
      <c r="G198" s="8" t="s">
        <v>50</v>
      </c>
      <c r="H198" s="9">
        <v>8.620000000000001</v>
      </c>
      <c r="I198" s="9">
        <v>2.2999999999999998</v>
      </c>
      <c r="J198" s="9" t="s">
        <v>1315</v>
      </c>
      <c r="K198" s="1" t="s">
        <v>1734</v>
      </c>
      <c r="M198" s="2" t="s">
        <v>1995</v>
      </c>
      <c r="N198" s="1">
        <v>1</v>
      </c>
      <c r="O198" s="1">
        <v>3</v>
      </c>
      <c r="P198" s="1" t="s">
        <v>51</v>
      </c>
      <c r="Q198" s="10" t="s">
        <v>953</v>
      </c>
      <c r="R198" t="s">
        <v>2253</v>
      </c>
      <c r="S198" t="s">
        <v>2254</v>
      </c>
      <c r="T198">
        <v>89853582851</v>
      </c>
      <c r="U198" t="s">
        <v>2181</v>
      </c>
      <c r="V198" t="s">
        <v>2255</v>
      </c>
      <c r="W198">
        <v>9955579959</v>
      </c>
      <c r="X198" t="s">
        <v>2216</v>
      </c>
      <c r="Y198" t="s">
        <v>2118</v>
      </c>
      <c r="Z198" t="s">
        <v>2184</v>
      </c>
      <c r="AA198">
        <v>8</v>
      </c>
      <c r="AB198" s="6" t="s">
        <v>810</v>
      </c>
      <c r="AC198" s="10" t="s">
        <v>954</v>
      </c>
      <c r="AF198" s="14" t="s">
        <v>732</v>
      </c>
      <c r="AG198" s="5" t="s">
        <v>28</v>
      </c>
      <c r="AH198" s="5">
        <v>100</v>
      </c>
      <c r="AI198" s="6">
        <v>2</v>
      </c>
      <c r="AJ198" s="13" t="s">
        <v>1328</v>
      </c>
      <c r="AK198" s="58">
        <v>0.54166666666666696</v>
      </c>
      <c r="AL198" s="58" t="str">
        <f t="shared" si="25"/>
        <v>09:00 - 13:00</v>
      </c>
      <c r="AM198" s="151"/>
      <c r="AN198" s="95">
        <f t="shared" si="24"/>
        <v>300000</v>
      </c>
      <c r="AO198" s="94" t="b">
        <v>1</v>
      </c>
      <c r="AP198" s="34">
        <f t="shared" si="26"/>
        <v>218.40000000000003</v>
      </c>
      <c r="AQ198" s="23">
        <f t="shared" si="27"/>
        <v>1</v>
      </c>
      <c r="AR198" s="35" t="s">
        <v>48</v>
      </c>
      <c r="AU198" s="46"/>
      <c r="AW198" s="63" t="str">
        <f t="shared" si="28"/>
        <v>10:26:13</v>
      </c>
      <c r="AX198" s="152"/>
      <c r="AY198" s="160">
        <v>1</v>
      </c>
      <c r="AZ198" s="10"/>
      <c r="BA198" s="104" t="str">
        <f t="shared" si="29"/>
        <v>2-ТВЕРСКАЯ-ЯМСКАЯ-18</v>
      </c>
      <c r="BB198" s="70">
        <f>AP198*4.1+10*60</f>
        <v>1495.44</v>
      </c>
      <c r="BD198" s="123"/>
      <c r="BE198" s="117" t="s">
        <v>1315</v>
      </c>
      <c r="BF198" s="89" t="s">
        <v>1315</v>
      </c>
      <c r="BG198" s="89" t="s">
        <v>1315</v>
      </c>
      <c r="BH198" s="89" t="s">
        <v>1315</v>
      </c>
      <c r="BI198" s="89" t="s">
        <v>1315</v>
      </c>
      <c r="BJ198" s="89" t="s">
        <v>1315</v>
      </c>
      <c r="BK198" s="89" t="s">
        <v>1315</v>
      </c>
      <c r="BL198" s="1" t="s">
        <v>952</v>
      </c>
    </row>
    <row r="199" spans="1:65" ht="15" customHeight="1" x14ac:dyDescent="0.3">
      <c r="C199" s="1">
        <v>142</v>
      </c>
      <c r="D199" s="6">
        <v>886</v>
      </c>
      <c r="E199" s="6">
        <v>4886</v>
      </c>
      <c r="F199" s="10" t="s">
        <v>1438</v>
      </c>
      <c r="G199" s="8" t="s">
        <v>50</v>
      </c>
      <c r="H199" s="9">
        <v>11.93</v>
      </c>
      <c r="I199" s="9">
        <v>5.04</v>
      </c>
      <c r="J199" s="9" t="s">
        <v>1315</v>
      </c>
      <c r="K199" s="1" t="s">
        <v>1734</v>
      </c>
      <c r="M199" s="2" t="s">
        <v>1999</v>
      </c>
      <c r="N199" s="1">
        <v>1</v>
      </c>
      <c r="O199" s="1">
        <v>4</v>
      </c>
      <c r="P199" s="1" t="s">
        <v>51</v>
      </c>
      <c r="Q199" s="10" t="s">
        <v>1246</v>
      </c>
      <c r="R199" t="s">
        <v>2253</v>
      </c>
      <c r="S199" t="s">
        <v>2254</v>
      </c>
      <c r="T199">
        <v>89853582851</v>
      </c>
      <c r="U199" t="s">
        <v>2181</v>
      </c>
      <c r="V199" t="s">
        <v>2255</v>
      </c>
      <c r="W199">
        <v>9955579959</v>
      </c>
      <c r="X199" t="s">
        <v>2216</v>
      </c>
      <c r="Y199" t="s">
        <v>2118</v>
      </c>
      <c r="Z199" t="s">
        <v>2184</v>
      </c>
      <c r="AA199">
        <v>8</v>
      </c>
      <c r="AB199" s="6" t="s">
        <v>811</v>
      </c>
      <c r="AC199" s="2" t="s">
        <v>326</v>
      </c>
      <c r="AF199" s="14" t="s">
        <v>732</v>
      </c>
      <c r="AG199" s="5" t="s">
        <v>28</v>
      </c>
      <c r="AH199" s="5">
        <v>100</v>
      </c>
      <c r="AI199" s="6">
        <v>2</v>
      </c>
      <c r="AJ199" s="13" t="s">
        <v>1329</v>
      </c>
      <c r="AK199" s="58">
        <v>0.54166666666666696</v>
      </c>
      <c r="AL199" s="58" t="str">
        <f t="shared" si="25"/>
        <v>09:30 - 13:00</v>
      </c>
      <c r="AM199" s="151"/>
      <c r="AN199" s="95">
        <f t="shared" si="24"/>
        <v>300000</v>
      </c>
      <c r="AO199" s="94" t="b">
        <v>1</v>
      </c>
      <c r="AP199" s="34">
        <f t="shared" si="26"/>
        <v>339.4</v>
      </c>
      <c r="AQ199" s="23">
        <f t="shared" si="27"/>
        <v>1</v>
      </c>
      <c r="AR199" s="35" t="s">
        <v>48</v>
      </c>
      <c r="AU199" s="46"/>
      <c r="AW199" s="63" t="str">
        <f t="shared" si="28"/>
        <v>10:54:45</v>
      </c>
      <c r="AX199" s="152"/>
      <c r="AY199" s="160">
        <v>1</v>
      </c>
      <c r="AZ199" s="10"/>
      <c r="BA199" s="104" t="str">
        <f t="shared" si="29"/>
        <v>БУТЫРСКИЙ-ВАЛ-4</v>
      </c>
      <c r="BB199" s="70">
        <f>AP199*4.1+10*60</f>
        <v>1991.5399999999997</v>
      </c>
      <c r="BD199" s="123"/>
      <c r="BE199" s="117" t="s">
        <v>1315</v>
      </c>
      <c r="BF199" s="89">
        <v>-13.089999999999989</v>
      </c>
      <c r="BG199" s="89" t="s">
        <v>1315</v>
      </c>
      <c r="BH199" s="89" t="s">
        <v>1315</v>
      </c>
      <c r="BI199" s="89" t="s">
        <v>1315</v>
      </c>
      <c r="BJ199" s="89" t="s">
        <v>1315</v>
      </c>
      <c r="BK199" s="89" t="s">
        <v>1315</v>
      </c>
      <c r="BL199" s="10" t="s">
        <v>325</v>
      </c>
    </row>
    <row r="200" spans="1:65" ht="15" customHeight="1" x14ac:dyDescent="0.3">
      <c r="C200" s="1">
        <v>212</v>
      </c>
      <c r="D200" s="6">
        <v>709</v>
      </c>
      <c r="E200" s="6">
        <v>4709</v>
      </c>
      <c r="F200" s="1" t="s">
        <v>1501</v>
      </c>
      <c r="G200" s="8" t="s">
        <v>50</v>
      </c>
      <c r="H200" s="9">
        <v>48.75</v>
      </c>
      <c r="I200" s="9">
        <v>30.33</v>
      </c>
      <c r="J200" s="9" t="s">
        <v>1315</v>
      </c>
      <c r="K200" s="1" t="s">
        <v>1734</v>
      </c>
      <c r="M200" s="2" t="s">
        <v>1926</v>
      </c>
      <c r="N200" s="1">
        <v>1</v>
      </c>
      <c r="O200" s="1">
        <v>5</v>
      </c>
      <c r="P200" s="1" t="s">
        <v>51</v>
      </c>
      <c r="Q200" s="10" t="s">
        <v>1199</v>
      </c>
      <c r="R200" t="s">
        <v>2253</v>
      </c>
      <c r="S200" t="s">
        <v>2254</v>
      </c>
      <c r="T200">
        <v>89853582851</v>
      </c>
      <c r="U200" t="s">
        <v>2181</v>
      </c>
      <c r="V200" t="s">
        <v>2255</v>
      </c>
      <c r="W200">
        <v>9955579959</v>
      </c>
      <c r="X200" t="s">
        <v>2216</v>
      </c>
      <c r="Y200" t="s">
        <v>2118</v>
      </c>
      <c r="Z200" t="s">
        <v>2184</v>
      </c>
      <c r="AA200">
        <v>8</v>
      </c>
      <c r="AB200" s="6" t="s">
        <v>845</v>
      </c>
      <c r="AC200" s="2" t="s">
        <v>122</v>
      </c>
      <c r="AF200" s="153" t="s">
        <v>1672</v>
      </c>
      <c r="AI200" s="6">
        <v>2</v>
      </c>
      <c r="AJ200" s="13" t="s">
        <v>1328</v>
      </c>
      <c r="AK200" s="58">
        <v>0.54166666666666696</v>
      </c>
      <c r="AL200" s="58" t="str">
        <f t="shared" si="25"/>
        <v>09:00 - 13:00</v>
      </c>
      <c r="AM200" s="151">
        <v>6</v>
      </c>
      <c r="AN200" s="95">
        <f t="shared" si="24"/>
        <v>506112</v>
      </c>
      <c r="AO200" s="94" t="b">
        <v>1</v>
      </c>
      <c r="AP200" s="34">
        <f t="shared" si="26"/>
        <v>1581.6</v>
      </c>
      <c r="AQ200" s="23">
        <f t="shared" si="27"/>
        <v>3</v>
      </c>
      <c r="AR200" s="35" t="s">
        <v>48</v>
      </c>
      <c r="AW200" s="63" t="str">
        <f t="shared" si="28"/>
        <v>11:37:55</v>
      </c>
      <c r="AX200" s="152"/>
      <c r="AY200" s="160">
        <v>1</v>
      </c>
      <c r="AZ200" s="10"/>
      <c r="BA200" s="104" t="str">
        <f t="shared" si="29"/>
        <v>1-ХОРОШЕВСКИЙ-ПР-Д-14К1</v>
      </c>
      <c r="BB200" s="85">
        <f>AP200*2.8+10*60</f>
        <v>5028.4799999999996</v>
      </c>
      <c r="BD200" s="123"/>
      <c r="BE200" s="117">
        <v>-8.8946666666666658</v>
      </c>
      <c r="BF200" s="89" t="s">
        <v>1315</v>
      </c>
      <c r="BG200" s="89" t="s">
        <v>1315</v>
      </c>
      <c r="BH200" s="89" t="s">
        <v>1315</v>
      </c>
      <c r="BI200" s="89" t="s">
        <v>1315</v>
      </c>
      <c r="BJ200" s="89">
        <v>-1.5746666666666584</v>
      </c>
      <c r="BK200" s="89" t="s">
        <v>1315</v>
      </c>
      <c r="BL200" s="1" t="s">
        <v>121</v>
      </c>
    </row>
    <row r="201" spans="1:65" ht="15" customHeight="1" x14ac:dyDescent="0.3">
      <c r="C201" s="1">
        <v>428</v>
      </c>
      <c r="D201" s="6">
        <v>25895</v>
      </c>
      <c r="E201" s="6">
        <v>4895</v>
      </c>
      <c r="F201" s="10" t="s">
        <v>1575</v>
      </c>
      <c r="G201" s="8" t="s">
        <v>43</v>
      </c>
      <c r="H201" s="9">
        <v>24.810000000000002</v>
      </c>
      <c r="I201" s="9">
        <v>11.41</v>
      </c>
      <c r="J201" s="9" t="s">
        <v>1795</v>
      </c>
      <c r="K201" s="1" t="s">
        <v>1751</v>
      </c>
      <c r="M201" s="2" t="s">
        <v>1329</v>
      </c>
      <c r="N201" s="1">
        <v>1</v>
      </c>
      <c r="O201" s="1">
        <v>1</v>
      </c>
      <c r="P201" s="1" t="s">
        <v>517</v>
      </c>
      <c r="Q201" s="10" t="s">
        <v>546</v>
      </c>
      <c r="R201" t="s">
        <v>2256</v>
      </c>
      <c r="S201" t="s">
        <v>2257</v>
      </c>
      <c r="T201">
        <v>89636363157</v>
      </c>
      <c r="U201" t="s">
        <v>2181</v>
      </c>
      <c r="V201" t="s">
        <v>2258</v>
      </c>
      <c r="W201">
        <v>9955446340</v>
      </c>
      <c r="X201" t="s">
        <v>2183</v>
      </c>
      <c r="Y201" t="s">
        <v>2118</v>
      </c>
      <c r="Z201" t="s">
        <v>2184</v>
      </c>
      <c r="AA201">
        <v>8</v>
      </c>
      <c r="AB201" s="6" t="s">
        <v>944</v>
      </c>
      <c r="AC201" s="2" t="s">
        <v>547</v>
      </c>
      <c r="AF201" s="167" t="s">
        <v>1672</v>
      </c>
      <c r="AI201" s="6">
        <v>2</v>
      </c>
      <c r="AJ201" s="114" t="str">
        <f ca="1">IF((WEEKDAY(TODAY(),2))=6,"10:00","09:30")</f>
        <v>09:30</v>
      </c>
      <c r="AK201" s="58">
        <v>0.54166666666666696</v>
      </c>
      <c r="AL201" s="58" t="str">
        <f t="shared" ca="1" si="25"/>
        <v>09:30 - 13:00</v>
      </c>
      <c r="AM201" s="151">
        <v>6</v>
      </c>
      <c r="AN201" s="95">
        <f t="shared" si="24"/>
        <v>300000</v>
      </c>
      <c r="AO201" s="94" t="b">
        <v>1</v>
      </c>
      <c r="AP201" s="34">
        <f t="shared" si="26"/>
        <v>724.40000000000009</v>
      </c>
      <c r="AQ201" s="23">
        <f t="shared" si="27"/>
        <v>2</v>
      </c>
      <c r="AR201" s="35" t="s">
        <v>48</v>
      </c>
      <c r="AW201" s="63" t="str">
        <f t="shared" ca="1" si="28"/>
        <v>09:30</v>
      </c>
      <c r="AX201" s="152"/>
      <c r="AY201" s="160">
        <v>1</v>
      </c>
      <c r="AZ201" s="10"/>
      <c r="BA201" s="104" t="str">
        <f t="shared" si="29"/>
        <v>ОДИНЦОВО-КАШТАНОВАЯ-4</v>
      </c>
      <c r="BB201" s="85">
        <f>AP201*3+10*60</f>
        <v>2773.2000000000003</v>
      </c>
      <c r="BD201" s="123"/>
      <c r="BE201" s="117" t="s">
        <v>1315</v>
      </c>
      <c r="BF201" s="89" t="s">
        <v>1315</v>
      </c>
      <c r="BG201" s="89" t="s">
        <v>1315</v>
      </c>
      <c r="BH201" s="89">
        <v>-9.0499999999999972</v>
      </c>
      <c r="BI201" s="89" t="s">
        <v>1315</v>
      </c>
      <c r="BJ201" s="89" t="s">
        <v>1315</v>
      </c>
      <c r="BK201" s="89" t="s">
        <v>1315</v>
      </c>
      <c r="BL201" s="10" t="s">
        <v>545</v>
      </c>
    </row>
    <row r="202" spans="1:65" ht="15" customHeight="1" x14ac:dyDescent="0.3">
      <c r="C202" s="1">
        <v>224</v>
      </c>
      <c r="D202" s="6">
        <v>695</v>
      </c>
      <c r="E202" s="6">
        <v>7695</v>
      </c>
      <c r="F202" s="1" t="s">
        <v>1459</v>
      </c>
      <c r="G202" s="8" t="s">
        <v>50</v>
      </c>
      <c r="H202" s="9">
        <v>36.67</v>
      </c>
      <c r="I202" s="9">
        <v>13.03</v>
      </c>
      <c r="J202" s="9" t="s">
        <v>1315</v>
      </c>
      <c r="K202" s="1" t="s">
        <v>1751</v>
      </c>
      <c r="M202" s="2" t="s">
        <v>2007</v>
      </c>
      <c r="N202" s="1">
        <v>1</v>
      </c>
      <c r="O202" s="1">
        <v>2</v>
      </c>
      <c r="P202" s="1" t="s">
        <v>51</v>
      </c>
      <c r="Q202" s="18" t="s">
        <v>2383</v>
      </c>
      <c r="R202" t="s">
        <v>2256</v>
      </c>
      <c r="S202" t="s">
        <v>2257</v>
      </c>
      <c r="T202">
        <v>89636363157</v>
      </c>
      <c r="U202" t="s">
        <v>2181</v>
      </c>
      <c r="V202" t="s">
        <v>2258</v>
      </c>
      <c r="W202">
        <v>9955446340</v>
      </c>
      <c r="X202" t="s">
        <v>2183</v>
      </c>
      <c r="Y202" t="s">
        <v>2118</v>
      </c>
      <c r="Z202" t="s">
        <v>2184</v>
      </c>
      <c r="AA202">
        <v>8</v>
      </c>
      <c r="AB202" s="6" t="s">
        <v>849</v>
      </c>
      <c r="AC202" s="2" t="s">
        <v>380</v>
      </c>
      <c r="AF202" s="14" t="s">
        <v>1694</v>
      </c>
      <c r="AI202" s="6">
        <v>2</v>
      </c>
      <c r="AJ202" s="13" t="s">
        <v>1329</v>
      </c>
      <c r="AK202" s="58">
        <v>0.54166666666666696</v>
      </c>
      <c r="AL202" s="58" t="str">
        <f t="shared" si="25"/>
        <v>09:30 - 13:00</v>
      </c>
      <c r="AM202" s="151">
        <v>1</v>
      </c>
      <c r="AN202" s="95">
        <f t="shared" si="24"/>
        <v>300000</v>
      </c>
      <c r="AO202" s="94" t="b">
        <v>1</v>
      </c>
      <c r="AP202" s="34">
        <f t="shared" si="26"/>
        <v>994</v>
      </c>
      <c r="AQ202" s="23">
        <f t="shared" si="27"/>
        <v>2</v>
      </c>
      <c r="AR202" s="35" t="s">
        <v>48</v>
      </c>
      <c r="AW202" s="63" t="str">
        <f t="shared" si="28"/>
        <v>11:20:51</v>
      </c>
      <c r="AX202" s="172"/>
      <c r="AY202" s="160">
        <v>1</v>
      </c>
      <c r="AZ202" s="10"/>
      <c r="BA202" s="104" t="str">
        <f t="shared" si="29"/>
        <v>ПЯТНИЦКОЕ-Ш-21</v>
      </c>
      <c r="BB202" s="85">
        <f>AP202*3.7+10*60</f>
        <v>4277.8</v>
      </c>
      <c r="BD202" s="123"/>
      <c r="BE202" s="117" t="s">
        <v>1315</v>
      </c>
      <c r="BF202" s="89" t="s">
        <v>1315</v>
      </c>
      <c r="BG202" s="89" t="s">
        <v>1315</v>
      </c>
      <c r="BH202" s="89">
        <v>30.546000000000035</v>
      </c>
      <c r="BI202" s="89" t="s">
        <v>1315</v>
      </c>
      <c r="BJ202" s="89" t="s">
        <v>1315</v>
      </c>
      <c r="BK202" s="89" t="s">
        <v>1315</v>
      </c>
      <c r="BL202" s="1" t="s">
        <v>379</v>
      </c>
    </row>
    <row r="203" spans="1:65" ht="15" customHeight="1" x14ac:dyDescent="0.3">
      <c r="C203" s="1">
        <v>230</v>
      </c>
      <c r="D203" s="6">
        <v>65832</v>
      </c>
      <c r="E203" s="6">
        <v>4832</v>
      </c>
      <c r="F203" s="10" t="s">
        <v>1507</v>
      </c>
      <c r="G203" s="8" t="s">
        <v>43</v>
      </c>
      <c r="H203" s="9">
        <v>47.11</v>
      </c>
      <c r="I203" s="9">
        <v>16.5</v>
      </c>
      <c r="J203" s="9" t="s">
        <v>1315</v>
      </c>
      <c r="K203" s="1" t="s">
        <v>1751</v>
      </c>
      <c r="M203" s="2" t="s">
        <v>2065</v>
      </c>
      <c r="N203" s="1">
        <v>1</v>
      </c>
      <c r="O203" s="1">
        <v>3</v>
      </c>
      <c r="P203" s="1" t="s">
        <v>127</v>
      </c>
      <c r="Q203" s="10" t="s">
        <v>385</v>
      </c>
      <c r="R203" t="s">
        <v>2256</v>
      </c>
      <c r="S203" t="s">
        <v>2257</v>
      </c>
      <c r="T203">
        <v>89636363157</v>
      </c>
      <c r="U203" t="s">
        <v>2181</v>
      </c>
      <c r="V203" t="s">
        <v>2258</v>
      </c>
      <c r="W203">
        <v>9955446340</v>
      </c>
      <c r="X203" t="s">
        <v>2183</v>
      </c>
      <c r="Y203" t="s">
        <v>2118</v>
      </c>
      <c r="Z203" t="s">
        <v>2184</v>
      </c>
      <c r="AA203">
        <v>8</v>
      </c>
      <c r="AB203" s="6" t="s">
        <v>853</v>
      </c>
      <c r="AC203" s="2" t="s">
        <v>386</v>
      </c>
      <c r="AF203" s="153" t="s">
        <v>1672</v>
      </c>
      <c r="AI203" s="6">
        <v>2</v>
      </c>
      <c r="AJ203" s="114" t="str">
        <f ca="1">IF((WEEKDAY(TODAY(),2))=6,"10:00","09:30")</f>
        <v>09:30</v>
      </c>
      <c r="AK203" s="58">
        <v>0.54166666666666696</v>
      </c>
      <c r="AL203" s="58" t="str">
        <f t="shared" ca="1" si="25"/>
        <v>09:30 - 13:00</v>
      </c>
      <c r="AM203" s="151">
        <v>1</v>
      </c>
      <c r="AN203" s="95">
        <f t="shared" si="24"/>
        <v>407104</v>
      </c>
      <c r="AO203" s="94" t="b">
        <v>1</v>
      </c>
      <c r="AP203" s="34">
        <f t="shared" si="26"/>
        <v>1272.2</v>
      </c>
      <c r="AQ203" s="23">
        <f t="shared" si="27"/>
        <v>3</v>
      </c>
      <c r="AR203" s="35" t="s">
        <v>48</v>
      </c>
      <c r="AW203" s="63" t="str">
        <f t="shared" ca="1" si="28"/>
        <v>12:47:01</v>
      </c>
      <c r="AX203" s="172"/>
      <c r="AY203" s="160">
        <v>1</v>
      </c>
      <c r="AZ203" s="10"/>
      <c r="BA203" s="104" t="str">
        <f t="shared" si="29"/>
        <v>ОТРАДНОЕ-КЛЕНОВАЯ-5</v>
      </c>
      <c r="BB203" s="85">
        <f>AP203*3+10*60</f>
        <v>4416.6000000000004</v>
      </c>
      <c r="BD203" s="123"/>
      <c r="BE203" s="117" t="s">
        <v>1315</v>
      </c>
      <c r="BF203" s="89" t="s">
        <v>1315</v>
      </c>
      <c r="BG203" s="89">
        <v>-33.269999999999996</v>
      </c>
      <c r="BH203" s="89">
        <v>44.959999999999994</v>
      </c>
      <c r="BI203" s="89" t="s">
        <v>1315</v>
      </c>
      <c r="BJ203" s="89" t="s">
        <v>1315</v>
      </c>
      <c r="BK203" s="89" t="s">
        <v>1315</v>
      </c>
      <c r="BL203" s="10" t="s">
        <v>384</v>
      </c>
    </row>
    <row r="204" spans="1:65" ht="15" customHeight="1" x14ac:dyDescent="0.3">
      <c r="C204" s="1">
        <v>33</v>
      </c>
      <c r="D204" s="6">
        <v>16</v>
      </c>
      <c r="E204" s="6">
        <v>7016</v>
      </c>
      <c r="F204" s="1" t="s">
        <v>1376</v>
      </c>
      <c r="G204" s="8" t="s">
        <v>50</v>
      </c>
      <c r="H204" s="9">
        <v>124.99</v>
      </c>
      <c r="I204" s="9">
        <v>18.78</v>
      </c>
      <c r="J204" s="9" t="s">
        <v>1844</v>
      </c>
      <c r="K204" s="1" t="s">
        <v>1780</v>
      </c>
      <c r="M204" s="2" t="s">
        <v>2080</v>
      </c>
      <c r="N204" s="1">
        <v>1</v>
      </c>
      <c r="O204" s="1">
        <v>1</v>
      </c>
      <c r="P204" s="1" t="s">
        <v>51</v>
      </c>
      <c r="Q204" s="10" t="s">
        <v>1219</v>
      </c>
      <c r="R204" t="s">
        <v>2259</v>
      </c>
      <c r="S204" t="s">
        <v>2260</v>
      </c>
      <c r="T204">
        <v>89250357915</v>
      </c>
      <c r="U204" t="s">
        <v>2181</v>
      </c>
      <c r="V204" t="s">
        <v>2261</v>
      </c>
      <c r="W204">
        <v>9955579960</v>
      </c>
      <c r="X204" t="s">
        <v>2216</v>
      </c>
      <c r="Y204" t="s">
        <v>2118</v>
      </c>
      <c r="Z204" t="s">
        <v>2184</v>
      </c>
      <c r="AA204">
        <v>8</v>
      </c>
      <c r="AB204" s="6" t="s">
        <v>752</v>
      </c>
      <c r="AC204" s="2" t="s">
        <v>234</v>
      </c>
      <c r="AF204" s="153" t="s">
        <v>1672</v>
      </c>
      <c r="AI204" s="6">
        <v>2</v>
      </c>
      <c r="AJ204" s="13" t="s">
        <v>1329</v>
      </c>
      <c r="AK204" s="142" t="str">
        <f>IF(AP204&gt;2000,"15:00",IF(AP204&lt;1000,"16:30","16:00"))</f>
        <v>15:00</v>
      </c>
      <c r="AL204" s="58" t="str">
        <f t="shared" si="25"/>
        <v>09:30 - 15:00</v>
      </c>
      <c r="AM204" s="151">
        <v>4</v>
      </c>
      <c r="AN204" s="95">
        <f t="shared" si="24"/>
        <v>920127.99999999988</v>
      </c>
      <c r="AO204" s="94" t="b">
        <v>1</v>
      </c>
      <c r="AP204" s="34">
        <f t="shared" si="26"/>
        <v>2875.3999999999996</v>
      </c>
      <c r="AQ204" s="23">
        <f t="shared" si="27"/>
        <v>6</v>
      </c>
      <c r="AR204" s="35" t="s">
        <v>48</v>
      </c>
      <c r="AU204" s="46"/>
      <c r="AW204" s="63" t="str">
        <f t="shared" si="28"/>
        <v>14:19:28</v>
      </c>
      <c r="AX204" s="152"/>
      <c r="AY204" s="160">
        <v>2</v>
      </c>
      <c r="AZ204" s="10"/>
      <c r="BA204" s="104" t="str">
        <f t="shared" si="29"/>
        <v>ГЕН-КУЗНЕЦОВА-14К1</v>
      </c>
      <c r="BB204" s="85">
        <f>AP204*3.4+10*60</f>
        <v>10376.359999999999</v>
      </c>
      <c r="BD204" s="123"/>
      <c r="BE204" s="117" t="s">
        <v>1315</v>
      </c>
      <c r="BF204" s="89" t="s">
        <v>1315</v>
      </c>
      <c r="BG204" s="89" t="s">
        <v>1315</v>
      </c>
      <c r="BH204" s="89">
        <v>-37.646666666666661</v>
      </c>
      <c r="BI204" s="89" t="s">
        <v>1315</v>
      </c>
      <c r="BJ204" s="89" t="s">
        <v>1315</v>
      </c>
      <c r="BK204" s="89" t="s">
        <v>1315</v>
      </c>
      <c r="BL204" s="1" t="s">
        <v>233</v>
      </c>
    </row>
    <row r="205" spans="1:65" ht="15" customHeight="1" x14ac:dyDescent="0.3">
      <c r="C205" s="1">
        <v>266</v>
      </c>
      <c r="D205" s="6">
        <v>657116</v>
      </c>
      <c r="E205" s="6">
        <v>4116</v>
      </c>
      <c r="F205" s="19" t="s">
        <v>1516</v>
      </c>
      <c r="G205" s="8" t="s">
        <v>43</v>
      </c>
      <c r="H205" s="9">
        <v>30.89</v>
      </c>
      <c r="I205" s="9">
        <v>14.92</v>
      </c>
      <c r="J205" s="9" t="s">
        <v>1812</v>
      </c>
      <c r="K205" s="1" t="s">
        <v>1727</v>
      </c>
      <c r="L205" s="2">
        <v>2</v>
      </c>
      <c r="M205" s="2" t="s">
        <v>1993</v>
      </c>
      <c r="N205" s="1">
        <v>1</v>
      </c>
      <c r="O205" s="1">
        <v>1</v>
      </c>
      <c r="P205" s="1" t="s">
        <v>131</v>
      </c>
      <c r="Q205" s="10" t="s">
        <v>1047</v>
      </c>
      <c r="R205" t="s">
        <v>2262</v>
      </c>
      <c r="S205" t="s">
        <v>2263</v>
      </c>
      <c r="T205">
        <v>89233492199</v>
      </c>
      <c r="U205" t="s">
        <v>2181</v>
      </c>
      <c r="V205" t="s">
        <v>2264</v>
      </c>
      <c r="W205">
        <v>9955446343</v>
      </c>
      <c r="X205" t="s">
        <v>2183</v>
      </c>
      <c r="Y205" t="s">
        <v>2118</v>
      </c>
      <c r="Z205" t="s">
        <v>2184</v>
      </c>
      <c r="AA205">
        <v>8</v>
      </c>
      <c r="AB205" s="6" t="s">
        <v>864</v>
      </c>
      <c r="AC205" s="1" t="s">
        <v>1065</v>
      </c>
      <c r="AF205" s="153" t="s">
        <v>1689</v>
      </c>
      <c r="AI205" s="6">
        <v>1</v>
      </c>
      <c r="AJ205" s="114" t="str">
        <f ca="1">IF((WEEKDAY(TODAY(),2))=6,"10:00","09:00")</f>
        <v>09:00</v>
      </c>
      <c r="AK205" s="58">
        <v>0.54166666666666696</v>
      </c>
      <c r="AL205" s="58" t="str">
        <f t="shared" ca="1" si="25"/>
        <v>09:00 - 13:00</v>
      </c>
      <c r="AM205" s="151">
        <v>6</v>
      </c>
      <c r="AN205" s="95">
        <f t="shared" si="24"/>
        <v>300000</v>
      </c>
      <c r="AO205" s="94" t="b">
        <v>1</v>
      </c>
      <c r="AP205" s="34">
        <f t="shared" si="26"/>
        <v>916.19999999999993</v>
      </c>
      <c r="AQ205" s="23">
        <f t="shared" si="27"/>
        <v>2</v>
      </c>
      <c r="AR205" s="35" t="s">
        <v>48</v>
      </c>
      <c r="AW205" s="63" t="str">
        <f t="shared" ca="1" si="28"/>
        <v>09:22:22</v>
      </c>
      <c r="AX205" s="152"/>
      <c r="AY205" s="160">
        <v>1</v>
      </c>
      <c r="AZ205" s="10"/>
      <c r="BA205" s="104" t="str">
        <f t="shared" si="29"/>
        <v>РАЗДОРЫ-ЛИПОВОЙ-РОЩИ-6К1</v>
      </c>
      <c r="BB205" s="87">
        <f>AP205*4+10*60</f>
        <v>4264.7999999999993</v>
      </c>
      <c r="BD205" s="123"/>
      <c r="BE205" s="117">
        <v>50.689999999999976</v>
      </c>
      <c r="BF205" s="89" t="s">
        <v>1315</v>
      </c>
      <c r="BG205" s="89" t="s">
        <v>1315</v>
      </c>
      <c r="BH205" s="89" t="s">
        <v>1315</v>
      </c>
      <c r="BI205" s="89" t="s">
        <v>1315</v>
      </c>
      <c r="BJ205" s="89">
        <v>30.809999999999995</v>
      </c>
      <c r="BK205" s="89">
        <v>-42.823333333333323</v>
      </c>
      <c r="BL205" s="19" t="s">
        <v>1046</v>
      </c>
    </row>
    <row r="206" spans="1:65" ht="15" customHeight="1" x14ac:dyDescent="0.3">
      <c r="C206" s="1">
        <v>172</v>
      </c>
      <c r="D206" s="6">
        <v>679</v>
      </c>
      <c r="E206" s="6">
        <v>7679</v>
      </c>
      <c r="F206" s="1" t="s">
        <v>1487</v>
      </c>
      <c r="G206" s="8" t="s">
        <v>50</v>
      </c>
      <c r="H206" s="9">
        <v>27.94</v>
      </c>
      <c r="I206" s="9">
        <v>3.31</v>
      </c>
      <c r="J206" s="9" t="s">
        <v>1315</v>
      </c>
      <c r="K206" s="1" t="s">
        <v>1727</v>
      </c>
      <c r="M206" s="2" t="s">
        <v>1902</v>
      </c>
      <c r="N206" s="1">
        <v>1</v>
      </c>
      <c r="O206" s="1">
        <v>2</v>
      </c>
      <c r="P206" s="1" t="s">
        <v>51</v>
      </c>
      <c r="Q206" s="10" t="s">
        <v>1216</v>
      </c>
      <c r="R206" t="s">
        <v>2262</v>
      </c>
      <c r="S206" t="s">
        <v>2263</v>
      </c>
      <c r="T206">
        <v>89233492199</v>
      </c>
      <c r="U206" t="s">
        <v>2181</v>
      </c>
      <c r="V206" t="s">
        <v>2264</v>
      </c>
      <c r="W206">
        <v>9955446343</v>
      </c>
      <c r="X206" t="s">
        <v>2183</v>
      </c>
      <c r="Y206" t="s">
        <v>2118</v>
      </c>
      <c r="Z206" t="s">
        <v>2184</v>
      </c>
      <c r="AA206">
        <v>8</v>
      </c>
      <c r="AB206" s="6" t="s">
        <v>827</v>
      </c>
      <c r="AC206" s="2" t="s">
        <v>354</v>
      </c>
      <c r="AF206" s="156" t="s">
        <v>1681</v>
      </c>
      <c r="AI206" s="6">
        <v>2</v>
      </c>
      <c r="AJ206" s="13" t="s">
        <v>1329</v>
      </c>
      <c r="AK206" s="58">
        <v>0.54166666666666696</v>
      </c>
      <c r="AL206" s="58" t="str">
        <f t="shared" si="25"/>
        <v>09:30 - 13:00</v>
      </c>
      <c r="AM206" s="151">
        <v>1</v>
      </c>
      <c r="AN206" s="95">
        <f t="shared" si="24"/>
        <v>300000</v>
      </c>
      <c r="AO206" s="94" t="b">
        <v>1</v>
      </c>
      <c r="AP206" s="34">
        <f t="shared" si="26"/>
        <v>625.00000000000011</v>
      </c>
      <c r="AQ206" s="23">
        <f t="shared" si="27"/>
        <v>2</v>
      </c>
      <c r="AR206" s="35" t="s">
        <v>48</v>
      </c>
      <c r="AU206" s="46"/>
      <c r="AW206" s="63" t="str">
        <f t="shared" si="28"/>
        <v>10:58:33</v>
      </c>
      <c r="AX206" s="172"/>
      <c r="AY206" s="160">
        <v>1</v>
      </c>
      <c r="AZ206" s="10"/>
      <c r="BA206" s="104" t="str">
        <f t="shared" si="29"/>
        <v>ЯНА-РАЙНИСА-Б-Р-2К1</v>
      </c>
      <c r="BB206" s="85">
        <f>AP206*3.8+10*60</f>
        <v>2975.0000000000005</v>
      </c>
      <c r="BD206" s="123"/>
      <c r="BE206" s="117">
        <v>-10</v>
      </c>
      <c r="BF206" s="89" t="s">
        <v>1315</v>
      </c>
      <c r="BG206" s="89">
        <v>-16.304000000000002</v>
      </c>
      <c r="BH206" s="89">
        <v>32.558</v>
      </c>
      <c r="BI206" s="89" t="s">
        <v>1315</v>
      </c>
      <c r="BJ206" s="89">
        <v>-15.167999999999999</v>
      </c>
      <c r="BK206" s="89" t="s">
        <v>1315</v>
      </c>
      <c r="BL206" s="1" t="s">
        <v>353</v>
      </c>
    </row>
    <row r="207" spans="1:65" ht="15" customHeight="1" x14ac:dyDescent="0.3">
      <c r="C207" s="1">
        <v>229</v>
      </c>
      <c r="D207" s="6">
        <v>65844</v>
      </c>
      <c r="E207" s="6">
        <v>4844</v>
      </c>
      <c r="F207" s="36" t="s">
        <v>1506</v>
      </c>
      <c r="G207" s="8" t="s">
        <v>43</v>
      </c>
      <c r="H207" s="9">
        <v>53.67</v>
      </c>
      <c r="I207" s="9">
        <v>13.35</v>
      </c>
      <c r="J207" s="9" t="s">
        <v>1315</v>
      </c>
      <c r="K207" s="1" t="s">
        <v>1727</v>
      </c>
      <c r="M207" s="2" t="s">
        <v>2066</v>
      </c>
      <c r="N207" s="1">
        <v>1</v>
      </c>
      <c r="O207" s="1">
        <v>3</v>
      </c>
      <c r="P207" s="1" t="s">
        <v>123</v>
      </c>
      <c r="Q207" s="1" t="s">
        <v>382</v>
      </c>
      <c r="R207" t="s">
        <v>2262</v>
      </c>
      <c r="S207" t="s">
        <v>2263</v>
      </c>
      <c r="T207">
        <v>89233492199</v>
      </c>
      <c r="U207" t="s">
        <v>2181</v>
      </c>
      <c r="V207" t="s">
        <v>2264</v>
      </c>
      <c r="W207">
        <v>9955446343</v>
      </c>
      <c r="X207" t="s">
        <v>2183</v>
      </c>
      <c r="Y207" t="s">
        <v>2118</v>
      </c>
      <c r="Z207" t="s">
        <v>2184</v>
      </c>
      <c r="AA207">
        <v>8</v>
      </c>
      <c r="AB207" s="6" t="s">
        <v>852</v>
      </c>
      <c r="AC207" s="2" t="s">
        <v>383</v>
      </c>
      <c r="AF207" s="153" t="s">
        <v>1672</v>
      </c>
      <c r="AI207" s="6">
        <v>2</v>
      </c>
      <c r="AJ207" s="114" t="str">
        <f ca="1">IF((WEEKDAY(TODAY(),2))=6,"10:00","09:30")</f>
        <v>09:30</v>
      </c>
      <c r="AK207" s="58">
        <v>0.54166666666666696</v>
      </c>
      <c r="AL207" s="58" t="str">
        <f t="shared" ca="1" si="25"/>
        <v>09:30 - 13:00</v>
      </c>
      <c r="AM207" s="151">
        <v>1</v>
      </c>
      <c r="AN207" s="95">
        <f t="shared" si="24"/>
        <v>428928</v>
      </c>
      <c r="AO207" s="94" t="b">
        <v>1</v>
      </c>
      <c r="AP207" s="34">
        <f t="shared" si="26"/>
        <v>1340.4</v>
      </c>
      <c r="AQ207" s="23">
        <f t="shared" si="27"/>
        <v>3</v>
      </c>
      <c r="AR207" s="35" t="s">
        <v>48</v>
      </c>
      <c r="AW207" s="63" t="str">
        <f t="shared" ca="1" si="28"/>
        <v>12:17:26</v>
      </c>
      <c r="AX207" s="172"/>
      <c r="AY207" s="160">
        <v>1</v>
      </c>
      <c r="AZ207" s="10"/>
      <c r="BA207" s="104" t="str">
        <f t="shared" si="29"/>
        <v>ОТРАДНОЕ-ПЯТНИЦКАЯ-12</v>
      </c>
      <c r="BB207" s="85">
        <f>AP207*3+10*60</f>
        <v>4621.2000000000007</v>
      </c>
      <c r="BD207" s="123"/>
      <c r="BE207" s="117" t="s">
        <v>1315</v>
      </c>
      <c r="BF207" s="89" t="s">
        <v>1315</v>
      </c>
      <c r="BG207" s="89">
        <v>-15.873333333333328</v>
      </c>
      <c r="BH207" s="89" t="s">
        <v>1315</v>
      </c>
      <c r="BI207" s="89" t="s">
        <v>1315</v>
      </c>
      <c r="BJ207" s="89">
        <v>-4.1533333333333289</v>
      </c>
      <c r="BK207" s="89" t="s">
        <v>1315</v>
      </c>
      <c r="BL207" s="36" t="s">
        <v>381</v>
      </c>
    </row>
    <row r="208" spans="1:65" ht="15" customHeight="1" x14ac:dyDescent="0.3">
      <c r="C208" s="1">
        <v>95</v>
      </c>
      <c r="D208" s="6">
        <v>770</v>
      </c>
      <c r="E208" s="6">
        <v>4770</v>
      </c>
      <c r="F208" s="1" t="s">
        <v>1405</v>
      </c>
      <c r="G208" s="8" t="s">
        <v>50</v>
      </c>
      <c r="H208" s="9">
        <v>19.740000000000002</v>
      </c>
      <c r="I208" s="9">
        <v>9.7899999999999991</v>
      </c>
      <c r="J208" s="9" t="s">
        <v>1823</v>
      </c>
      <c r="K208" s="1" t="s">
        <v>1744</v>
      </c>
      <c r="M208" s="2" t="s">
        <v>2013</v>
      </c>
      <c r="N208" s="1">
        <v>1</v>
      </c>
      <c r="O208" s="1">
        <v>1</v>
      </c>
      <c r="P208" s="1" t="s">
        <v>51</v>
      </c>
      <c r="Q208" s="10" t="s">
        <v>76</v>
      </c>
      <c r="R208" t="s">
        <v>2265</v>
      </c>
      <c r="S208" t="s">
        <v>2266</v>
      </c>
      <c r="T208">
        <v>89966774414</v>
      </c>
      <c r="U208" t="s">
        <v>2181</v>
      </c>
      <c r="V208" t="s">
        <v>2267</v>
      </c>
      <c r="W208">
        <v>9949331448</v>
      </c>
      <c r="X208" t="s">
        <v>2183</v>
      </c>
      <c r="Y208" t="s">
        <v>2118</v>
      </c>
      <c r="Z208" t="s">
        <v>2184</v>
      </c>
      <c r="AA208">
        <v>8</v>
      </c>
      <c r="AB208" s="6" t="s">
        <v>784</v>
      </c>
      <c r="AC208" s="2" t="s">
        <v>77</v>
      </c>
      <c r="AF208" s="153" t="s">
        <v>1672</v>
      </c>
      <c r="AI208" s="6">
        <v>2</v>
      </c>
      <c r="AJ208" s="13" t="s">
        <v>1328</v>
      </c>
      <c r="AK208" s="58">
        <v>0.54166666666666696</v>
      </c>
      <c r="AL208" s="58" t="str">
        <f t="shared" si="25"/>
        <v>09:00 - 13:00</v>
      </c>
      <c r="AM208" s="151">
        <v>5</v>
      </c>
      <c r="AN208" s="95">
        <f t="shared" si="24"/>
        <v>300000</v>
      </c>
      <c r="AO208" s="94" t="b">
        <v>1</v>
      </c>
      <c r="AP208" s="34">
        <f t="shared" si="26"/>
        <v>590.6</v>
      </c>
      <c r="AQ208" s="23">
        <f t="shared" si="27"/>
        <v>2</v>
      </c>
      <c r="AR208" s="35" t="s">
        <v>48</v>
      </c>
      <c r="AU208" s="46"/>
      <c r="AW208" s="63" t="str">
        <f t="shared" si="28"/>
        <v>10:31:55</v>
      </c>
      <c r="AX208" s="152"/>
      <c r="AY208" s="160">
        <v>1</v>
      </c>
      <c r="AZ208" s="10"/>
      <c r="BA208" s="104" t="str">
        <f t="shared" si="29"/>
        <v>СТОЛЕТОВА-17</v>
      </c>
      <c r="BB208" s="85">
        <f>AP208*3+10*60</f>
        <v>2371.8000000000002</v>
      </c>
      <c r="BD208" s="123"/>
      <c r="BE208" s="117">
        <v>24.97666666666667</v>
      </c>
      <c r="BF208" s="89" t="s">
        <v>1315</v>
      </c>
      <c r="BG208" s="89" t="s">
        <v>1315</v>
      </c>
      <c r="BH208" s="89">
        <v>-4.8633333333333439</v>
      </c>
      <c r="BI208" s="89" t="s">
        <v>1315</v>
      </c>
      <c r="BJ208" s="89">
        <v>32.31</v>
      </c>
      <c r="BK208" s="89" t="s">
        <v>1315</v>
      </c>
      <c r="BL208" s="1" t="s">
        <v>75</v>
      </c>
    </row>
    <row r="209" spans="3:64" ht="15" customHeight="1" x14ac:dyDescent="0.3">
      <c r="C209" s="1">
        <v>565</v>
      </c>
      <c r="D209" s="6">
        <v>61</v>
      </c>
      <c r="E209" s="6">
        <v>7061</v>
      </c>
      <c r="F209" s="1" t="s">
        <v>1614</v>
      </c>
      <c r="G209" s="8" t="s">
        <v>50</v>
      </c>
      <c r="H209" s="9">
        <v>11.07</v>
      </c>
      <c r="I209" s="9">
        <v>6.55</v>
      </c>
      <c r="J209" s="9" t="s">
        <v>1315</v>
      </c>
      <c r="K209" s="1" t="s">
        <v>1744</v>
      </c>
      <c r="M209" s="2" t="s">
        <v>1944</v>
      </c>
      <c r="N209" s="1">
        <v>1</v>
      </c>
      <c r="O209" s="1">
        <v>2</v>
      </c>
      <c r="P209" s="1" t="s">
        <v>51</v>
      </c>
      <c r="Q209" s="10" t="s">
        <v>629</v>
      </c>
      <c r="R209" t="s">
        <v>2265</v>
      </c>
      <c r="S209" t="s">
        <v>2266</v>
      </c>
      <c r="T209">
        <v>89966774414</v>
      </c>
      <c r="U209" t="s">
        <v>2181</v>
      </c>
      <c r="V209" t="s">
        <v>2267</v>
      </c>
      <c r="W209">
        <v>9949331448</v>
      </c>
      <c r="X209" t="s">
        <v>2183</v>
      </c>
      <c r="Y209" t="s">
        <v>2118</v>
      </c>
      <c r="Z209" t="s">
        <v>2184</v>
      </c>
      <c r="AA209">
        <v>8</v>
      </c>
      <c r="AB209" s="6" t="s">
        <v>1242</v>
      </c>
      <c r="AC209" s="2" t="s">
        <v>630</v>
      </c>
      <c r="AF209" s="14" t="s">
        <v>732</v>
      </c>
      <c r="AG209" s="5" t="s">
        <v>28</v>
      </c>
      <c r="AH209" s="5">
        <v>100</v>
      </c>
      <c r="AI209" s="6">
        <v>2</v>
      </c>
      <c r="AJ209" s="13" t="s">
        <v>1329</v>
      </c>
      <c r="AK209" s="58">
        <v>0.54166666666666696</v>
      </c>
      <c r="AL209" s="58" t="str">
        <f t="shared" si="25"/>
        <v>09:30 - 13:00</v>
      </c>
      <c r="AM209" s="151"/>
      <c r="AN209" s="95">
        <f t="shared" si="24"/>
        <v>300000</v>
      </c>
      <c r="AO209" s="94" t="b">
        <v>1</v>
      </c>
      <c r="AP209" s="34">
        <f t="shared" si="26"/>
        <v>352.4</v>
      </c>
      <c r="AQ209" s="23">
        <f t="shared" si="27"/>
        <v>1</v>
      </c>
      <c r="AR209" s="35" t="s">
        <v>48</v>
      </c>
      <c r="AW209" s="63" t="str">
        <f t="shared" si="28"/>
        <v>11:34:06</v>
      </c>
      <c r="AX209" s="152"/>
      <c r="AY209" s="160">
        <v>1</v>
      </c>
      <c r="AZ209" s="10"/>
      <c r="BA209" s="104" t="str">
        <f t="shared" si="29"/>
        <v>СТУДЕНЧЕСКАЯ-32</v>
      </c>
      <c r="BB209" s="86">
        <f>AP209*3.5+10*60</f>
        <v>1833.3999999999999</v>
      </c>
      <c r="BD209" s="123"/>
      <c r="BE209" s="117" t="s">
        <v>1315</v>
      </c>
      <c r="BF209" s="89">
        <v>-51.376666666666679</v>
      </c>
      <c r="BG209" s="89" t="s">
        <v>1315</v>
      </c>
      <c r="BH209" s="89">
        <v>-6.7000000000000028</v>
      </c>
      <c r="BI209" s="89" t="s">
        <v>1315</v>
      </c>
      <c r="BJ209" s="89" t="s">
        <v>1315</v>
      </c>
      <c r="BK209" s="89" t="s">
        <v>1315</v>
      </c>
      <c r="BL209" s="1" t="s">
        <v>628</v>
      </c>
    </row>
    <row r="210" spans="3:64" ht="15" customHeight="1" x14ac:dyDescent="0.3">
      <c r="C210" s="1">
        <v>564</v>
      </c>
      <c r="D210" s="6">
        <v>40</v>
      </c>
      <c r="E210" s="6">
        <v>7040</v>
      </c>
      <c r="F210" s="1" t="s">
        <v>1429</v>
      </c>
      <c r="G210" s="8" t="s">
        <v>50</v>
      </c>
      <c r="H210" s="9">
        <v>6.87</v>
      </c>
      <c r="I210" s="9">
        <v>2.57</v>
      </c>
      <c r="J210" s="9" t="s">
        <v>1315</v>
      </c>
      <c r="K210" s="1" t="s">
        <v>1744</v>
      </c>
      <c r="M210" s="2" t="s">
        <v>1945</v>
      </c>
      <c r="N210" s="1">
        <v>1</v>
      </c>
      <c r="O210" s="1">
        <v>3</v>
      </c>
      <c r="P210" s="1" t="s">
        <v>51</v>
      </c>
      <c r="Q210" s="10" t="s">
        <v>626</v>
      </c>
      <c r="R210" t="s">
        <v>2265</v>
      </c>
      <c r="S210" t="s">
        <v>2266</v>
      </c>
      <c r="T210">
        <v>89966774414</v>
      </c>
      <c r="U210" t="s">
        <v>2181</v>
      </c>
      <c r="V210" t="s">
        <v>2267</v>
      </c>
      <c r="W210">
        <v>9949331448</v>
      </c>
      <c r="X210" t="s">
        <v>2183</v>
      </c>
      <c r="Y210" t="s">
        <v>2118</v>
      </c>
      <c r="Z210" t="s">
        <v>2184</v>
      </c>
      <c r="AA210">
        <v>8</v>
      </c>
      <c r="AB210" s="6" t="s">
        <v>1241</v>
      </c>
      <c r="AC210" s="2" t="s">
        <v>627</v>
      </c>
      <c r="AF210" s="14" t="s">
        <v>732</v>
      </c>
      <c r="AG210" s="5" t="s">
        <v>28</v>
      </c>
      <c r="AH210" s="5">
        <v>100</v>
      </c>
      <c r="AI210" s="6">
        <v>2</v>
      </c>
      <c r="AJ210" s="13" t="s">
        <v>1329</v>
      </c>
      <c r="AK210" s="58">
        <v>0.54166666666666696</v>
      </c>
      <c r="AL210" s="58" t="str">
        <f t="shared" si="25"/>
        <v>09:30 - 13:00</v>
      </c>
      <c r="AM210" s="151"/>
      <c r="AN210" s="95">
        <f t="shared" si="24"/>
        <v>300000</v>
      </c>
      <c r="AO210" s="94" t="b">
        <v>1</v>
      </c>
      <c r="AP210" s="34">
        <f t="shared" si="26"/>
        <v>188.8</v>
      </c>
      <c r="AQ210" s="23">
        <f t="shared" si="27"/>
        <v>1</v>
      </c>
      <c r="AR210" s="35" t="s">
        <v>48</v>
      </c>
      <c r="AW210" s="63" t="str">
        <f t="shared" si="28"/>
        <v>12:07:23</v>
      </c>
      <c r="AX210" s="152"/>
      <c r="AY210" s="160">
        <v>1</v>
      </c>
      <c r="AZ210" s="10"/>
      <c r="BA210" s="104" t="str">
        <f t="shared" si="29"/>
        <v>РАЕВСКОГО-3</v>
      </c>
      <c r="BB210" s="86">
        <f>AP210*3.6+10*60</f>
        <v>1279.68</v>
      </c>
      <c r="BD210" s="123"/>
      <c r="BE210" s="117">
        <v>-2.7079999999999984</v>
      </c>
      <c r="BF210" s="89" t="s">
        <v>1315</v>
      </c>
      <c r="BG210" s="89" t="s">
        <v>1315</v>
      </c>
      <c r="BH210" s="89" t="s">
        <v>1315</v>
      </c>
      <c r="BI210" s="89" t="s">
        <v>1315</v>
      </c>
      <c r="BJ210" s="89" t="s">
        <v>1315</v>
      </c>
      <c r="BK210" s="89">
        <v>-9.3859999999999886</v>
      </c>
      <c r="BL210" s="1" t="s">
        <v>625</v>
      </c>
    </row>
    <row r="211" spans="3:64" ht="15" customHeight="1" x14ac:dyDescent="0.3">
      <c r="C211" s="1">
        <v>570</v>
      </c>
      <c r="D211" s="6">
        <v>723</v>
      </c>
      <c r="E211" s="6">
        <v>4723</v>
      </c>
      <c r="F211" s="1" t="s">
        <v>1453</v>
      </c>
      <c r="G211" s="8" t="s">
        <v>50</v>
      </c>
      <c r="H211" s="9">
        <v>62.179999999999993</v>
      </c>
      <c r="I211" s="9">
        <v>25.45</v>
      </c>
      <c r="J211" s="9" t="s">
        <v>1315</v>
      </c>
      <c r="K211" s="1" t="s">
        <v>1744</v>
      </c>
      <c r="M211" s="2" t="s">
        <v>2029</v>
      </c>
      <c r="N211" s="1">
        <v>1</v>
      </c>
      <c r="O211" s="1">
        <v>4</v>
      </c>
      <c r="P211" s="1" t="s">
        <v>51</v>
      </c>
      <c r="Q211" s="10" t="s">
        <v>1203</v>
      </c>
      <c r="R211" t="s">
        <v>2265</v>
      </c>
      <c r="S211" t="s">
        <v>2266</v>
      </c>
      <c r="T211">
        <v>89966774414</v>
      </c>
      <c r="U211" t="s">
        <v>2181</v>
      </c>
      <c r="V211" t="s">
        <v>2267</v>
      </c>
      <c r="W211">
        <v>9949331448</v>
      </c>
      <c r="X211" t="s">
        <v>2183</v>
      </c>
      <c r="Y211" t="s">
        <v>2118</v>
      </c>
      <c r="Z211" t="s">
        <v>2184</v>
      </c>
      <c r="AA211">
        <v>8</v>
      </c>
      <c r="AB211" s="6" t="s">
        <v>1252</v>
      </c>
      <c r="AC211" s="2" t="s">
        <v>635</v>
      </c>
      <c r="AF211" s="14" t="s">
        <v>732</v>
      </c>
      <c r="AG211" s="5" t="s">
        <v>28</v>
      </c>
      <c r="AH211" s="5">
        <v>100</v>
      </c>
      <c r="AI211" s="6">
        <v>2</v>
      </c>
      <c r="AJ211" s="13" t="s">
        <v>1329</v>
      </c>
      <c r="AK211" s="58">
        <v>0.54166666666666696</v>
      </c>
      <c r="AL211" s="58" t="str">
        <f t="shared" si="25"/>
        <v>09:30 - 13:00</v>
      </c>
      <c r="AM211" s="151"/>
      <c r="AN211" s="95">
        <f t="shared" si="24"/>
        <v>560832</v>
      </c>
      <c r="AO211" s="94" t="b">
        <v>1</v>
      </c>
      <c r="AP211" s="34">
        <f t="shared" si="26"/>
        <v>1752.6</v>
      </c>
      <c r="AQ211" s="23">
        <f t="shared" si="27"/>
        <v>4</v>
      </c>
      <c r="AR211" s="35" t="s">
        <v>48</v>
      </c>
      <c r="AW211" s="63" t="str">
        <f t="shared" si="28"/>
        <v>12:36:47</v>
      </c>
      <c r="AX211" s="152"/>
      <c r="AY211" s="160">
        <v>1</v>
      </c>
      <c r="AZ211" s="10"/>
      <c r="BA211" s="104" t="str">
        <f t="shared" si="29"/>
        <v>БЕРЕЖКОВСКАЯ-НАБ.-8</v>
      </c>
      <c r="BB211" s="86">
        <f>AP211*3.3+10*60</f>
        <v>6383.579999999999</v>
      </c>
      <c r="BD211" s="123"/>
      <c r="BE211" s="117" t="s">
        <v>1315</v>
      </c>
      <c r="BF211" s="89" t="s">
        <v>1315</v>
      </c>
      <c r="BG211" s="89">
        <v>-22.07</v>
      </c>
      <c r="BH211" s="89" t="s">
        <v>1315</v>
      </c>
      <c r="BI211" s="89" t="s">
        <v>1315</v>
      </c>
      <c r="BJ211" s="89">
        <v>-39.251666666666672</v>
      </c>
      <c r="BK211" s="89" t="s">
        <v>1315</v>
      </c>
      <c r="BL211" s="1" t="s">
        <v>634</v>
      </c>
    </row>
    <row r="212" spans="3:64" ht="15" customHeight="1" x14ac:dyDescent="0.3">
      <c r="C212" s="1">
        <v>430</v>
      </c>
      <c r="D212" s="6">
        <v>25779</v>
      </c>
      <c r="E212" s="6">
        <v>4779</v>
      </c>
      <c r="F212" s="1" t="s">
        <v>1576</v>
      </c>
      <c r="G212" s="8" t="s">
        <v>43</v>
      </c>
      <c r="H212" s="9">
        <v>20.34</v>
      </c>
      <c r="I212" s="9">
        <v>8.18</v>
      </c>
      <c r="J212" s="9" t="s">
        <v>1835</v>
      </c>
      <c r="K212" s="1" t="s">
        <v>1748</v>
      </c>
      <c r="M212" s="2" t="s">
        <v>1326</v>
      </c>
      <c r="N212" s="1">
        <v>1</v>
      </c>
      <c r="O212" s="1">
        <v>1</v>
      </c>
      <c r="P212" s="1" t="s">
        <v>517</v>
      </c>
      <c r="Q212" s="10" t="s">
        <v>549</v>
      </c>
      <c r="R212" t="s">
        <v>2268</v>
      </c>
      <c r="S212" t="s">
        <v>2269</v>
      </c>
      <c r="T212">
        <v>89996393811</v>
      </c>
      <c r="U212" t="s">
        <v>2181</v>
      </c>
      <c r="V212" t="s">
        <v>2270</v>
      </c>
      <c r="W212">
        <v>9966270280</v>
      </c>
      <c r="X212" t="s">
        <v>2183</v>
      </c>
      <c r="Y212" t="s">
        <v>2118</v>
      </c>
      <c r="Z212" t="s">
        <v>2184</v>
      </c>
      <c r="AA212">
        <v>8</v>
      </c>
      <c r="AB212" s="6" t="s">
        <v>945</v>
      </c>
      <c r="AC212" s="2" t="s">
        <v>550</v>
      </c>
      <c r="AF212" s="167" t="s">
        <v>1672</v>
      </c>
      <c r="AI212" s="6">
        <v>1</v>
      </c>
      <c r="AJ212" s="114" t="str">
        <f ca="1">IF((WEEKDAY(TODAY(),2))=6,"10:00","08:00")</f>
        <v>08:00</v>
      </c>
      <c r="AK212" s="107" t="str">
        <f ca="1">IF((WEEKDAY(TODAY(),2))=6,"13:00","10:00")</f>
        <v>10:00</v>
      </c>
      <c r="AL212" s="58" t="str">
        <f t="shared" ca="1" si="25"/>
        <v>08:00 - 10:00</v>
      </c>
      <c r="AM212" s="151">
        <v>6</v>
      </c>
      <c r="AN212" s="95">
        <f t="shared" si="24"/>
        <v>300000</v>
      </c>
      <c r="AO212" s="94" t="b">
        <v>1</v>
      </c>
      <c r="AP212" s="34">
        <f t="shared" si="26"/>
        <v>570.4</v>
      </c>
      <c r="AQ212" s="23">
        <f t="shared" si="27"/>
        <v>2</v>
      </c>
      <c r="AR212" s="35" t="s">
        <v>48</v>
      </c>
      <c r="AW212" s="63" t="str">
        <f t="shared" ca="1" si="28"/>
        <v>08:00</v>
      </c>
      <c r="AX212" s="152"/>
      <c r="AY212" s="160">
        <v>1</v>
      </c>
      <c r="AZ212" s="10"/>
      <c r="BA212" s="104" t="str">
        <f t="shared" si="29"/>
        <v>ОДИНЦОВО-ТРИУМФАЛЬНАЯ-10</v>
      </c>
      <c r="BB212" s="85">
        <f>AP212*4+10*60</f>
        <v>2881.6</v>
      </c>
      <c r="BD212" s="123"/>
      <c r="BE212" s="117">
        <v>1.75</v>
      </c>
      <c r="BF212" s="89">
        <v>0.4199999999999946</v>
      </c>
      <c r="BG212" s="89" t="s">
        <v>1315</v>
      </c>
      <c r="BH212" s="89">
        <v>49.713333333333367</v>
      </c>
      <c r="BI212" s="89">
        <v>-27.173333333333332</v>
      </c>
      <c r="BJ212" s="89">
        <v>18.416666666666679</v>
      </c>
      <c r="BK212" s="89">
        <v>-10.753333333333316</v>
      </c>
      <c r="BL212" s="1" t="s">
        <v>548</v>
      </c>
    </row>
    <row r="213" spans="3:64" ht="15" customHeight="1" x14ac:dyDescent="0.3">
      <c r="C213" s="1">
        <v>419</v>
      </c>
      <c r="D213" s="6">
        <v>25730</v>
      </c>
      <c r="E213" s="6">
        <v>4730</v>
      </c>
      <c r="F213" s="1" t="s">
        <v>1568</v>
      </c>
      <c r="G213" s="8" t="s">
        <v>43</v>
      </c>
      <c r="H213" s="9">
        <v>50.52</v>
      </c>
      <c r="I213" s="9">
        <v>14.31</v>
      </c>
      <c r="J213" s="9" t="s">
        <v>1315</v>
      </c>
      <c r="K213" s="1" t="s">
        <v>1748</v>
      </c>
      <c r="M213" s="2" t="s">
        <v>1329</v>
      </c>
      <c r="N213" s="1">
        <v>1</v>
      </c>
      <c r="O213" s="1">
        <v>2</v>
      </c>
      <c r="P213" s="1" t="s">
        <v>517</v>
      </c>
      <c r="Q213" s="10" t="s">
        <v>528</v>
      </c>
      <c r="R213" t="s">
        <v>2268</v>
      </c>
      <c r="S213" t="s">
        <v>2269</v>
      </c>
      <c r="T213">
        <v>89996393811</v>
      </c>
      <c r="U213" t="s">
        <v>2181</v>
      </c>
      <c r="V213" t="s">
        <v>2270</v>
      </c>
      <c r="W213">
        <v>9966270280</v>
      </c>
      <c r="X213" t="s">
        <v>2183</v>
      </c>
      <c r="Y213" t="s">
        <v>2118</v>
      </c>
      <c r="Z213" t="s">
        <v>2184</v>
      </c>
      <c r="AA213">
        <v>8</v>
      </c>
      <c r="AB213" s="6" t="s">
        <v>937</v>
      </c>
      <c r="AC213" s="2" t="s">
        <v>529</v>
      </c>
      <c r="AF213" s="153" t="s">
        <v>1672</v>
      </c>
      <c r="AI213" s="6">
        <v>2</v>
      </c>
      <c r="AJ213" s="114" t="str">
        <f ca="1">IF((WEEKDAY(TODAY(),2))=6,"10:00","09:30")</f>
        <v>09:30</v>
      </c>
      <c r="AK213" s="58">
        <v>0.54166666666666696</v>
      </c>
      <c r="AL213" s="58" t="str">
        <f t="shared" ca="1" si="25"/>
        <v>09:30 - 13:00</v>
      </c>
      <c r="AM213" s="151">
        <v>6</v>
      </c>
      <c r="AN213" s="95">
        <f t="shared" si="24"/>
        <v>414912.00000000006</v>
      </c>
      <c r="AO213" s="94" t="b">
        <v>1</v>
      </c>
      <c r="AP213" s="34">
        <f t="shared" si="26"/>
        <v>1296.6000000000001</v>
      </c>
      <c r="AQ213" s="23">
        <f t="shared" si="27"/>
        <v>3</v>
      </c>
      <c r="AR213" s="35" t="s">
        <v>48</v>
      </c>
      <c r="AW213" s="63" t="str">
        <f t="shared" ca="1" si="28"/>
        <v>09:30</v>
      </c>
      <c r="AX213" s="152"/>
      <c r="AY213" s="160">
        <v>1</v>
      </c>
      <c r="AZ213" s="10"/>
      <c r="BA213" s="104" t="str">
        <f t="shared" si="29"/>
        <v>ОДИНЦОВО-ГОВОРОВА-34</v>
      </c>
      <c r="BB213" s="85">
        <f>AP213*3+10*60</f>
        <v>4489.8</v>
      </c>
      <c r="BD213" s="123"/>
      <c r="BE213" s="117" t="s">
        <v>1315</v>
      </c>
      <c r="BF213" s="89">
        <v>5.8500000000000085</v>
      </c>
      <c r="BG213" s="89" t="s">
        <v>1315</v>
      </c>
      <c r="BH213" s="89" t="s">
        <v>1315</v>
      </c>
      <c r="BI213" s="89" t="s">
        <v>1315</v>
      </c>
      <c r="BJ213" s="89">
        <v>67.706666666666706</v>
      </c>
      <c r="BK213" s="89" t="s">
        <v>1315</v>
      </c>
      <c r="BL213" s="1" t="s">
        <v>527</v>
      </c>
    </row>
    <row r="214" spans="3:64" ht="15" customHeight="1" x14ac:dyDescent="0.3">
      <c r="C214" s="1">
        <v>271</v>
      </c>
      <c r="D214" s="6">
        <v>507062</v>
      </c>
      <c r="E214" s="6">
        <v>4062</v>
      </c>
      <c r="F214" s="68" t="s">
        <v>1654</v>
      </c>
      <c r="G214" s="8" t="s">
        <v>43</v>
      </c>
      <c r="H214" s="9">
        <v>45.97</v>
      </c>
      <c r="I214" s="9">
        <v>9.84</v>
      </c>
      <c r="J214" s="9" t="s">
        <v>1315</v>
      </c>
      <c r="K214" s="1" t="s">
        <v>1748</v>
      </c>
      <c r="M214" s="2" t="s">
        <v>2053</v>
      </c>
      <c r="N214" s="1">
        <v>1</v>
      </c>
      <c r="O214" s="1">
        <v>3</v>
      </c>
      <c r="P214" s="1" t="s">
        <v>127</v>
      </c>
      <c r="Q214" s="1" t="s">
        <v>713</v>
      </c>
      <c r="R214" t="s">
        <v>2268</v>
      </c>
      <c r="S214" t="s">
        <v>2269</v>
      </c>
      <c r="T214">
        <v>89996393811</v>
      </c>
      <c r="U214" t="s">
        <v>2181</v>
      </c>
      <c r="V214" t="s">
        <v>2270</v>
      </c>
      <c r="W214">
        <v>9966270280</v>
      </c>
      <c r="X214" t="s">
        <v>2183</v>
      </c>
      <c r="Y214" t="s">
        <v>2118</v>
      </c>
      <c r="Z214" t="s">
        <v>2184</v>
      </c>
      <c r="AA214">
        <v>8</v>
      </c>
      <c r="AB214" s="6" t="s">
        <v>869</v>
      </c>
      <c r="AC214" s="1" t="s">
        <v>714</v>
      </c>
      <c r="AD214" s="48" t="s">
        <v>1183</v>
      </c>
      <c r="AE214" s="48" t="s">
        <v>1184</v>
      </c>
      <c r="AF214" s="169" t="s">
        <v>1680</v>
      </c>
      <c r="AH214" s="24"/>
      <c r="AI214" s="6">
        <v>2</v>
      </c>
      <c r="AJ214" s="114" t="str">
        <f ca="1">IF((WEEKDAY(TODAY(),2))=6,"10:00","09:30")</f>
        <v>09:30</v>
      </c>
      <c r="AK214" s="58">
        <v>0.54166666666666696</v>
      </c>
      <c r="AL214" s="58" t="str">
        <f t="shared" ca="1" si="25"/>
        <v>09:30 - 13:00</v>
      </c>
      <c r="AM214" s="151">
        <v>6</v>
      </c>
      <c r="AN214" s="95">
        <f t="shared" si="24"/>
        <v>357184</v>
      </c>
      <c r="AO214" s="94" t="b">
        <v>1</v>
      </c>
      <c r="AP214" s="34">
        <f t="shared" si="26"/>
        <v>1116.2</v>
      </c>
      <c r="AQ214" s="23">
        <f t="shared" si="27"/>
        <v>2</v>
      </c>
      <c r="AR214" s="35" t="s">
        <v>48</v>
      </c>
      <c r="AW214" s="63" t="str">
        <f t="shared" ca="1" si="28"/>
        <v>11:18:39</v>
      </c>
      <c r="AX214" s="152"/>
      <c r="AY214" s="160">
        <v>1</v>
      </c>
      <c r="AZ214" s="10"/>
      <c r="BA214" s="104" t="str">
        <f t="shared" si="29"/>
        <v>РУБЛЕВСКОЕ-ПРЕДМЕСТЬЕ-11</v>
      </c>
      <c r="BB214" s="85">
        <f>AP214*3.7+10*60</f>
        <v>4729.9400000000005</v>
      </c>
      <c r="BD214" s="123"/>
      <c r="BE214" s="117" t="s">
        <v>1315</v>
      </c>
      <c r="BF214" s="89" t="s">
        <v>1315</v>
      </c>
      <c r="BG214" s="89" t="s">
        <v>1315</v>
      </c>
      <c r="BH214" s="89">
        <v>5.9243333333333368</v>
      </c>
      <c r="BI214" s="89" t="s">
        <v>1315</v>
      </c>
      <c r="BJ214" s="89">
        <v>19.408666666666655</v>
      </c>
      <c r="BK214" s="89" t="s">
        <v>1315</v>
      </c>
      <c r="BL214" s="1" t="s">
        <v>712</v>
      </c>
    </row>
    <row r="215" spans="3:64" ht="15" customHeight="1" x14ac:dyDescent="0.3">
      <c r="C215" s="1">
        <v>402</v>
      </c>
      <c r="D215" s="6">
        <v>855</v>
      </c>
      <c r="E215" s="6">
        <v>4855</v>
      </c>
      <c r="F215" s="10" t="s">
        <v>1421</v>
      </c>
      <c r="G215" s="8" t="s">
        <v>50</v>
      </c>
      <c r="H215" s="9">
        <v>42.960000000000008</v>
      </c>
      <c r="I215" s="9">
        <v>14.55</v>
      </c>
      <c r="J215" s="9" t="s">
        <v>1819</v>
      </c>
      <c r="K215" s="1" t="s">
        <v>1759</v>
      </c>
      <c r="M215" s="2" t="s">
        <v>1329</v>
      </c>
      <c r="N215" s="1">
        <v>1</v>
      </c>
      <c r="O215" s="1">
        <v>1</v>
      </c>
      <c r="P215" s="1" t="s">
        <v>51</v>
      </c>
      <c r="Q215" s="10" t="s">
        <v>201</v>
      </c>
      <c r="R215" t="s">
        <v>2271</v>
      </c>
      <c r="S215" t="s">
        <v>2272</v>
      </c>
      <c r="T215">
        <v>89265220887</v>
      </c>
      <c r="U215" t="s">
        <v>2181</v>
      </c>
      <c r="V215" t="s">
        <v>2273</v>
      </c>
      <c r="W215">
        <v>9949331319</v>
      </c>
      <c r="X215" t="s">
        <v>2183</v>
      </c>
      <c r="Y215" t="s">
        <v>2118</v>
      </c>
      <c r="Z215" t="s">
        <v>2184</v>
      </c>
      <c r="AA215">
        <v>8</v>
      </c>
      <c r="AB215" s="6" t="s">
        <v>926</v>
      </c>
      <c r="AC215" s="2" t="s">
        <v>202</v>
      </c>
      <c r="AF215" s="153" t="s">
        <v>1672</v>
      </c>
      <c r="AI215" s="6">
        <v>2</v>
      </c>
      <c r="AJ215" s="13" t="s">
        <v>1329</v>
      </c>
      <c r="AK215" s="58">
        <v>0.54166666666666696</v>
      </c>
      <c r="AL215" s="58" t="str">
        <f t="shared" si="25"/>
        <v>09:30 - 13:00</v>
      </c>
      <c r="AM215" s="151">
        <v>6</v>
      </c>
      <c r="AN215" s="95">
        <f t="shared" si="24"/>
        <v>368064.00000000012</v>
      </c>
      <c r="AO215" s="94" t="b">
        <v>1</v>
      </c>
      <c r="AP215" s="34">
        <f t="shared" si="26"/>
        <v>1150.2000000000003</v>
      </c>
      <c r="AQ215" s="23">
        <f t="shared" si="27"/>
        <v>3</v>
      </c>
      <c r="AR215" s="35" t="s">
        <v>48</v>
      </c>
      <c r="AW215" s="63" t="str">
        <f t="shared" si="28"/>
        <v>09:30</v>
      </c>
      <c r="AX215" s="152"/>
      <c r="AY215" s="160">
        <v>1</v>
      </c>
      <c r="AZ215" s="10"/>
      <c r="BA215" s="104" t="str">
        <f t="shared" si="29"/>
        <v>БАРКЛАЯ-7</v>
      </c>
      <c r="BB215" s="87">
        <f>AP215*3.5+10*60</f>
        <v>4625.7000000000007</v>
      </c>
      <c r="BD215" s="123"/>
      <c r="BE215" s="117" t="s">
        <v>1315</v>
      </c>
      <c r="BF215" s="89" t="s">
        <v>1315</v>
      </c>
      <c r="BG215" s="89" t="s">
        <v>1315</v>
      </c>
      <c r="BH215" s="89">
        <v>-35.434999999999995</v>
      </c>
      <c r="BI215" s="89" t="s">
        <v>1315</v>
      </c>
      <c r="BJ215" s="89">
        <v>-25.676666666666662</v>
      </c>
      <c r="BK215" s="89" t="s">
        <v>1315</v>
      </c>
      <c r="BL215" s="10" t="s">
        <v>200</v>
      </c>
    </row>
    <row r="216" spans="3:64" ht="15" customHeight="1" x14ac:dyDescent="0.3">
      <c r="C216" s="1">
        <v>566</v>
      </c>
      <c r="D216" s="6">
        <v>656</v>
      </c>
      <c r="E216" s="6">
        <v>7656</v>
      </c>
      <c r="F216" s="1" t="s">
        <v>1615</v>
      </c>
      <c r="G216" s="8" t="s">
        <v>50</v>
      </c>
      <c r="H216" s="9">
        <v>32.03</v>
      </c>
      <c r="I216" s="9">
        <v>8.2799999999999994</v>
      </c>
      <c r="J216" s="9" t="s">
        <v>1315</v>
      </c>
      <c r="K216" s="1" t="s">
        <v>1759</v>
      </c>
      <c r="M216" s="2" t="s">
        <v>1977</v>
      </c>
      <c r="N216" s="1">
        <v>1</v>
      </c>
      <c r="O216" s="1">
        <v>2</v>
      </c>
      <c r="P216" s="1" t="s">
        <v>51</v>
      </c>
      <c r="Q216" s="10" t="s">
        <v>632</v>
      </c>
      <c r="R216" t="s">
        <v>2271</v>
      </c>
      <c r="S216" t="s">
        <v>2272</v>
      </c>
      <c r="T216">
        <v>89265220887</v>
      </c>
      <c r="U216" t="s">
        <v>2181</v>
      </c>
      <c r="V216" t="s">
        <v>2273</v>
      </c>
      <c r="W216">
        <v>9949331319</v>
      </c>
      <c r="X216" t="s">
        <v>2183</v>
      </c>
      <c r="Y216" t="s">
        <v>2118</v>
      </c>
      <c r="Z216" t="s">
        <v>2184</v>
      </c>
      <c r="AA216">
        <v>8</v>
      </c>
      <c r="AB216" s="6" t="s">
        <v>1243</v>
      </c>
      <c r="AC216" s="2" t="s">
        <v>633</v>
      </c>
      <c r="AF216" s="14" t="s">
        <v>732</v>
      </c>
      <c r="AG216" s="5" t="s">
        <v>28</v>
      </c>
      <c r="AH216" s="5">
        <v>100</v>
      </c>
      <c r="AI216" s="6">
        <v>2</v>
      </c>
      <c r="AJ216" s="13" t="s">
        <v>1329</v>
      </c>
      <c r="AK216" s="58">
        <v>0.54166666666666696</v>
      </c>
      <c r="AL216" s="58" t="str">
        <f t="shared" si="25"/>
        <v>09:30 - 13:00</v>
      </c>
      <c r="AM216" s="151"/>
      <c r="AN216" s="95">
        <f t="shared" si="24"/>
        <v>300000</v>
      </c>
      <c r="AO216" s="94" t="b">
        <v>1</v>
      </c>
      <c r="AP216" s="34">
        <f t="shared" si="26"/>
        <v>806.2</v>
      </c>
      <c r="AQ216" s="23">
        <f t="shared" si="27"/>
        <v>2</v>
      </c>
      <c r="AR216" s="35" t="s">
        <v>48</v>
      </c>
      <c r="AW216" s="63" t="str">
        <f t="shared" si="28"/>
        <v>10:53:26</v>
      </c>
      <c r="AX216" s="152"/>
      <c r="AY216" s="160">
        <v>1</v>
      </c>
      <c r="AZ216" s="10"/>
      <c r="BA216" s="104" t="str">
        <f t="shared" si="29"/>
        <v>ПОБЕДЫ-ПЛ-1Б</v>
      </c>
      <c r="BB216" s="70">
        <f>AP216*4.1+10*60</f>
        <v>3905.42</v>
      </c>
      <c r="BD216" s="123"/>
      <c r="BE216" s="117" t="s">
        <v>1315</v>
      </c>
      <c r="BF216" s="89">
        <v>-12.529333333333348</v>
      </c>
      <c r="BG216" s="89" t="s">
        <v>1315</v>
      </c>
      <c r="BH216" s="89" t="s">
        <v>1315</v>
      </c>
      <c r="BI216" s="89" t="s">
        <v>1315</v>
      </c>
      <c r="BJ216" s="89">
        <v>-23.271000000000001</v>
      </c>
      <c r="BK216" s="89" t="s">
        <v>1315</v>
      </c>
      <c r="BL216" s="1" t="s">
        <v>631</v>
      </c>
    </row>
    <row r="217" spans="3:64" ht="15" customHeight="1" x14ac:dyDescent="0.3">
      <c r="C217" s="1">
        <v>399</v>
      </c>
      <c r="D217" s="6">
        <v>7080</v>
      </c>
      <c r="E217" s="6">
        <v>4080</v>
      </c>
      <c r="F217" s="36" t="s">
        <v>1560</v>
      </c>
      <c r="G217" s="8" t="s">
        <v>50</v>
      </c>
      <c r="H217" s="9">
        <v>6.52</v>
      </c>
      <c r="I217" s="9">
        <v>4.55</v>
      </c>
      <c r="J217" s="9" t="s">
        <v>1315</v>
      </c>
      <c r="K217" s="1" t="s">
        <v>1759</v>
      </c>
      <c r="M217" s="2" t="s">
        <v>2032</v>
      </c>
      <c r="N217" s="1">
        <v>1</v>
      </c>
      <c r="O217" s="1">
        <v>3</v>
      </c>
      <c r="P217" s="1" t="s">
        <v>51</v>
      </c>
      <c r="Q217" s="1" t="s">
        <v>980</v>
      </c>
      <c r="R217" t="s">
        <v>2271</v>
      </c>
      <c r="S217" t="s">
        <v>2272</v>
      </c>
      <c r="T217">
        <v>89265220887</v>
      </c>
      <c r="U217" t="s">
        <v>2181</v>
      </c>
      <c r="V217" t="s">
        <v>2273</v>
      </c>
      <c r="W217">
        <v>9949331319</v>
      </c>
      <c r="X217" t="s">
        <v>2183</v>
      </c>
      <c r="Y217" t="s">
        <v>2118</v>
      </c>
      <c r="Z217" t="s">
        <v>2184</v>
      </c>
      <c r="AA217">
        <v>8</v>
      </c>
      <c r="AB217" s="6" t="s">
        <v>925</v>
      </c>
      <c r="AC217" s="1" t="s">
        <v>981</v>
      </c>
      <c r="AF217" s="167" t="s">
        <v>1672</v>
      </c>
      <c r="AI217" s="6">
        <v>2</v>
      </c>
      <c r="AJ217" s="13" t="s">
        <v>1329</v>
      </c>
      <c r="AK217" s="58">
        <v>0.54166666666666696</v>
      </c>
      <c r="AL217" s="58" t="str">
        <f t="shared" si="25"/>
        <v>09:30 - 13:00</v>
      </c>
      <c r="AM217" s="151">
        <v>6</v>
      </c>
      <c r="AN217" s="95">
        <f t="shared" si="24"/>
        <v>300000</v>
      </c>
      <c r="AO217" s="94" t="b">
        <v>1</v>
      </c>
      <c r="AP217" s="34">
        <f t="shared" si="26"/>
        <v>221.39999999999998</v>
      </c>
      <c r="AQ217" s="23">
        <f t="shared" si="27"/>
        <v>1</v>
      </c>
      <c r="AR217" s="35" t="s">
        <v>48</v>
      </c>
      <c r="AW217" s="63" t="str">
        <f t="shared" si="28"/>
        <v>12:19:45</v>
      </c>
      <c r="AX217" s="178"/>
      <c r="AY217" s="160">
        <v>1</v>
      </c>
      <c r="AZ217" s="56"/>
      <c r="BA217" s="104" t="str">
        <f t="shared" si="29"/>
        <v>БЕРЕГОВОЙ-ПР-Д-1А</v>
      </c>
      <c r="BB217" s="85">
        <f>AP217*2.8+10*60</f>
        <v>1219.9199999999998</v>
      </c>
      <c r="BD217" s="123"/>
      <c r="BE217" s="117" t="s">
        <v>1315</v>
      </c>
      <c r="BF217" s="89">
        <v>-1.2946666666666573</v>
      </c>
      <c r="BG217" s="89" t="s">
        <v>1315</v>
      </c>
      <c r="BH217" s="89" t="s">
        <v>1315</v>
      </c>
      <c r="BI217" s="89" t="s">
        <v>1315</v>
      </c>
      <c r="BJ217" s="89" t="s">
        <v>1315</v>
      </c>
      <c r="BK217" s="89">
        <v>6.7560000000000002</v>
      </c>
      <c r="BL217" s="36" t="s">
        <v>979</v>
      </c>
    </row>
    <row r="218" spans="3:64" ht="15" customHeight="1" x14ac:dyDescent="0.3">
      <c r="C218" s="1">
        <v>405</v>
      </c>
      <c r="D218" s="6">
        <v>7107</v>
      </c>
      <c r="E218" s="6">
        <v>4107</v>
      </c>
      <c r="F218" s="40" t="s">
        <v>1562</v>
      </c>
      <c r="G218" s="8" t="s">
        <v>50</v>
      </c>
      <c r="H218" s="9">
        <v>29.03</v>
      </c>
      <c r="I218" s="9">
        <v>10.59</v>
      </c>
      <c r="J218" s="9" t="s">
        <v>1315</v>
      </c>
      <c r="K218" s="1" t="s">
        <v>1759</v>
      </c>
      <c r="M218" s="2" t="s">
        <v>1983</v>
      </c>
      <c r="N218" s="1">
        <v>1</v>
      </c>
      <c r="O218" s="1">
        <v>4</v>
      </c>
      <c r="P218" s="1" t="s">
        <v>51</v>
      </c>
      <c r="Q218" s="10" t="s">
        <v>1055</v>
      </c>
      <c r="R218" t="s">
        <v>2271</v>
      </c>
      <c r="S218" t="s">
        <v>2272</v>
      </c>
      <c r="T218">
        <v>89265220887</v>
      </c>
      <c r="U218" t="s">
        <v>2181</v>
      </c>
      <c r="V218" t="s">
        <v>2273</v>
      </c>
      <c r="W218">
        <v>9949331319</v>
      </c>
      <c r="X218" t="s">
        <v>2183</v>
      </c>
      <c r="Y218" t="s">
        <v>2118</v>
      </c>
      <c r="Z218" t="s">
        <v>2184</v>
      </c>
      <c r="AA218">
        <v>8</v>
      </c>
      <c r="AB218" s="6" t="s">
        <v>929</v>
      </c>
      <c r="AC218" s="2" t="s">
        <v>1056</v>
      </c>
      <c r="AF218" s="153" t="s">
        <v>1672</v>
      </c>
      <c r="AI218" s="6">
        <v>2</v>
      </c>
      <c r="AJ218" s="13" t="s">
        <v>1329</v>
      </c>
      <c r="AK218" s="58">
        <v>0.54166666666666696</v>
      </c>
      <c r="AL218" s="58" t="str">
        <f t="shared" si="25"/>
        <v>09:30 - 13:00</v>
      </c>
      <c r="AM218" s="151">
        <v>6</v>
      </c>
      <c r="AN218" s="95">
        <f t="shared" si="24"/>
        <v>300000</v>
      </c>
      <c r="AO218" s="94" t="b">
        <v>1</v>
      </c>
      <c r="AP218" s="34">
        <f t="shared" si="26"/>
        <v>792.40000000000009</v>
      </c>
      <c r="AQ218" s="23">
        <f t="shared" si="27"/>
        <v>2</v>
      </c>
      <c r="AR218" s="35" t="s">
        <v>48</v>
      </c>
      <c r="AW218" s="63" t="str">
        <f t="shared" si="28"/>
        <v>12:46:38</v>
      </c>
      <c r="AX218" s="152"/>
      <c r="AY218" s="160">
        <v>1</v>
      </c>
      <c r="AZ218" s="10"/>
      <c r="BA218" s="104" t="str">
        <f t="shared" si="29"/>
        <v>БОЛЬШАЯ-ФИЛЕВСКАЯ-3К4</v>
      </c>
      <c r="BB218" s="87">
        <f>AP218*3.5+10*60</f>
        <v>3373.4000000000005</v>
      </c>
      <c r="BD218" s="123"/>
      <c r="BE218" s="117" t="s">
        <v>1315</v>
      </c>
      <c r="BF218" s="89">
        <v>-1.7866666666666617</v>
      </c>
      <c r="BG218" s="89" t="s">
        <v>1315</v>
      </c>
      <c r="BH218" s="89" t="s">
        <v>1315</v>
      </c>
      <c r="BI218" s="89" t="s">
        <v>1315</v>
      </c>
      <c r="BJ218" s="89">
        <v>20.178333333333335</v>
      </c>
      <c r="BK218" s="89" t="s">
        <v>1315</v>
      </c>
      <c r="BL218" s="40" t="s">
        <v>1054</v>
      </c>
    </row>
    <row r="219" spans="3:64" ht="15" customHeight="1" x14ac:dyDescent="0.3">
      <c r="C219" s="1">
        <v>251</v>
      </c>
      <c r="D219" s="6">
        <v>657197</v>
      </c>
      <c r="E219" s="6">
        <v>4819</v>
      </c>
      <c r="F219" s="126" t="s">
        <v>1512</v>
      </c>
      <c r="G219" s="8" t="s">
        <v>43</v>
      </c>
      <c r="H219" s="9">
        <v>74.81</v>
      </c>
      <c r="I219" s="9">
        <v>24.55</v>
      </c>
      <c r="J219" s="9" t="s">
        <v>1813</v>
      </c>
      <c r="K219" s="1" t="s">
        <v>1766</v>
      </c>
      <c r="M219" s="2" t="s">
        <v>1329</v>
      </c>
      <c r="N219" s="1">
        <v>1</v>
      </c>
      <c r="O219" s="1">
        <v>1</v>
      </c>
      <c r="P219" s="1" t="s">
        <v>128</v>
      </c>
      <c r="Q219" s="10" t="s">
        <v>129</v>
      </c>
      <c r="R219" t="s">
        <v>2274</v>
      </c>
      <c r="S219" t="s">
        <v>2275</v>
      </c>
      <c r="T219">
        <v>89690640779</v>
      </c>
      <c r="U219" t="s">
        <v>2181</v>
      </c>
      <c r="V219" t="s">
        <v>2276</v>
      </c>
      <c r="W219">
        <v>9955447863</v>
      </c>
      <c r="X219" t="s">
        <v>2183</v>
      </c>
      <c r="Y219" t="s">
        <v>2118</v>
      </c>
      <c r="Z219" t="s">
        <v>2184</v>
      </c>
      <c r="AA219">
        <v>8</v>
      </c>
      <c r="AB219" s="6" t="s">
        <v>860</v>
      </c>
      <c r="AC219" s="2" t="s">
        <v>130</v>
      </c>
      <c r="AF219" s="14" t="s">
        <v>732</v>
      </c>
      <c r="AI219" s="6">
        <v>2</v>
      </c>
      <c r="AJ219" s="114" t="str">
        <f ca="1">IF((WEEKDAY(TODAY(),2))=6,"10:00","09:30")</f>
        <v>09:30</v>
      </c>
      <c r="AK219" s="58">
        <v>0.54166666666666696</v>
      </c>
      <c r="AL219" s="58" t="str">
        <f t="shared" ca="1" si="25"/>
        <v>09:30 - 13:00</v>
      </c>
      <c r="AM219" s="151">
        <v>1</v>
      </c>
      <c r="AN219" s="95">
        <f t="shared" si="24"/>
        <v>635904</v>
      </c>
      <c r="AO219" s="94" t="b">
        <v>1</v>
      </c>
      <c r="AP219" s="34">
        <f t="shared" si="26"/>
        <v>1987.2</v>
      </c>
      <c r="AQ219" s="23">
        <f t="shared" si="27"/>
        <v>4</v>
      </c>
      <c r="AR219" s="35" t="s">
        <v>48</v>
      </c>
      <c r="AW219" s="63" t="str">
        <f t="shared" ca="1" si="28"/>
        <v>09:30</v>
      </c>
      <c r="AX219" s="172"/>
      <c r="AY219" s="160">
        <v>1</v>
      </c>
      <c r="AZ219" s="10"/>
      <c r="BA219" s="104" t="str">
        <f t="shared" si="29"/>
        <v>КРАСНОГОРСК-КОСМОНАВТОВ-Б-Р-6</v>
      </c>
      <c r="BB219" s="85">
        <f>AP219*3.5+10*60</f>
        <v>7555.2</v>
      </c>
      <c r="BD219" s="123"/>
      <c r="BE219" s="117" t="s">
        <v>1315</v>
      </c>
      <c r="BF219" s="89" t="s">
        <v>1315</v>
      </c>
      <c r="BG219" s="89" t="s">
        <v>1315</v>
      </c>
      <c r="BH219" s="89">
        <v>43.3066666666667</v>
      </c>
      <c r="BI219" s="89">
        <v>21.056666666666672</v>
      </c>
      <c r="BJ219" s="89" t="s">
        <v>1315</v>
      </c>
      <c r="BK219" s="89" t="s">
        <v>1315</v>
      </c>
      <c r="BL219" s="126" t="s">
        <v>1354</v>
      </c>
    </row>
    <row r="220" spans="3:64" ht="15" customHeight="1" x14ac:dyDescent="0.3">
      <c r="C220" s="1">
        <v>249</v>
      </c>
      <c r="D220" s="6">
        <v>65788</v>
      </c>
      <c r="E220" s="6">
        <v>4788</v>
      </c>
      <c r="F220" s="36" t="s">
        <v>1647</v>
      </c>
      <c r="G220" s="8" t="s">
        <v>43</v>
      </c>
      <c r="H220" s="9">
        <v>21.78</v>
      </c>
      <c r="I220" s="9">
        <v>4.0599999999999996</v>
      </c>
      <c r="J220" s="9" t="s">
        <v>1315</v>
      </c>
      <c r="K220" s="1" t="s">
        <v>1766</v>
      </c>
      <c r="M220" s="2" t="s">
        <v>2058</v>
      </c>
      <c r="N220" s="1">
        <v>1</v>
      </c>
      <c r="O220" s="1">
        <v>2</v>
      </c>
      <c r="P220" s="1" t="s">
        <v>128</v>
      </c>
      <c r="Q220" s="10" t="s">
        <v>392</v>
      </c>
      <c r="R220" t="s">
        <v>2274</v>
      </c>
      <c r="S220" t="s">
        <v>2275</v>
      </c>
      <c r="T220">
        <v>89690640779</v>
      </c>
      <c r="U220" t="s">
        <v>2181</v>
      </c>
      <c r="V220" t="s">
        <v>2276</v>
      </c>
      <c r="W220">
        <v>9955447863</v>
      </c>
      <c r="X220" t="s">
        <v>2183</v>
      </c>
      <c r="Y220" t="s">
        <v>2118</v>
      </c>
      <c r="Z220" t="s">
        <v>2184</v>
      </c>
      <c r="AA220">
        <v>8</v>
      </c>
      <c r="AB220" s="6" t="s">
        <v>859</v>
      </c>
      <c r="AC220" s="2" t="s">
        <v>393</v>
      </c>
      <c r="AF220" s="53" t="s">
        <v>1672</v>
      </c>
      <c r="AI220" s="6">
        <v>2</v>
      </c>
      <c r="AJ220" s="114" t="str">
        <f ca="1">IF((WEEKDAY(TODAY(),2))=6,"10:00","09:30")</f>
        <v>09:30</v>
      </c>
      <c r="AK220" s="58">
        <v>0.54166666666666696</v>
      </c>
      <c r="AL220" s="58" t="str">
        <f t="shared" ca="1" si="25"/>
        <v>09:30 - 13:00</v>
      </c>
      <c r="AM220" s="151">
        <v>1</v>
      </c>
      <c r="AN220" s="95">
        <f t="shared" si="24"/>
        <v>300000</v>
      </c>
      <c r="AO220" s="94" t="b">
        <v>1</v>
      </c>
      <c r="AP220" s="34">
        <f t="shared" si="26"/>
        <v>516.79999999999995</v>
      </c>
      <c r="AQ220" s="23">
        <f t="shared" si="27"/>
        <v>1</v>
      </c>
      <c r="AR220" s="35" t="s">
        <v>48</v>
      </c>
      <c r="AW220" s="63" t="str">
        <f t="shared" ca="1" si="28"/>
        <v>11:40:08</v>
      </c>
      <c r="AX220" s="172"/>
      <c r="AY220" s="160">
        <v>1</v>
      </c>
      <c r="AZ220" s="10"/>
      <c r="BA220" s="104" t="str">
        <f t="shared" si="29"/>
        <v>КРАСНОГОРСК-ИГОРЯ-МЕРЛУШКИНА-3</v>
      </c>
      <c r="BB220" s="87">
        <f>AP220*3.7+10*60</f>
        <v>2512.16</v>
      </c>
      <c r="BD220" s="123"/>
      <c r="BE220" s="117" t="s">
        <v>1315</v>
      </c>
      <c r="BF220" s="89" t="s">
        <v>1315</v>
      </c>
      <c r="BG220" s="89" t="s">
        <v>1315</v>
      </c>
      <c r="BH220" s="89">
        <v>30.744000000000007</v>
      </c>
      <c r="BI220" s="89" t="s">
        <v>1315</v>
      </c>
      <c r="BJ220" s="89" t="s">
        <v>1315</v>
      </c>
      <c r="BK220" s="89" t="s">
        <v>1315</v>
      </c>
      <c r="BL220" s="36" t="s">
        <v>391</v>
      </c>
    </row>
    <row r="221" spans="3:64" ht="15" customHeight="1" x14ac:dyDescent="0.3">
      <c r="C221" s="1">
        <v>255</v>
      </c>
      <c r="D221" s="6">
        <v>65872</v>
      </c>
      <c r="E221" s="6">
        <v>4872</v>
      </c>
      <c r="F221" s="10" t="s">
        <v>1514</v>
      </c>
      <c r="G221" s="8" t="s">
        <v>43</v>
      </c>
      <c r="H221" s="9">
        <v>8.5</v>
      </c>
      <c r="I221" s="9">
        <v>6.65</v>
      </c>
      <c r="J221" s="9" t="s">
        <v>1315</v>
      </c>
      <c r="K221" s="1" t="s">
        <v>1766</v>
      </c>
      <c r="M221" s="2" t="s">
        <v>2059</v>
      </c>
      <c r="N221" s="1">
        <v>1</v>
      </c>
      <c r="O221" s="1">
        <v>3</v>
      </c>
      <c r="P221" s="1" t="s">
        <v>398</v>
      </c>
      <c r="Q221" s="10" t="s">
        <v>399</v>
      </c>
      <c r="R221" t="s">
        <v>2274</v>
      </c>
      <c r="S221" t="s">
        <v>2275</v>
      </c>
      <c r="T221">
        <v>89690640779</v>
      </c>
      <c r="U221" t="s">
        <v>2181</v>
      </c>
      <c r="V221" t="s">
        <v>2276</v>
      </c>
      <c r="W221">
        <v>9955447863</v>
      </c>
      <c r="X221" t="s">
        <v>2183</v>
      </c>
      <c r="Y221" t="s">
        <v>2118</v>
      </c>
      <c r="Z221" t="s">
        <v>2184</v>
      </c>
      <c r="AA221">
        <v>8</v>
      </c>
      <c r="AB221" s="6" t="s">
        <v>862</v>
      </c>
      <c r="AC221" s="2" t="s">
        <v>400</v>
      </c>
      <c r="AF221" s="53" t="s">
        <v>1672</v>
      </c>
      <c r="AI221" s="6">
        <v>2</v>
      </c>
      <c r="AJ221" s="114" t="str">
        <f ca="1">IF((WEEKDAY(TODAY(),2))=6,"10:00","09:30")</f>
        <v>09:30</v>
      </c>
      <c r="AK221" s="58">
        <v>0.54166666666666696</v>
      </c>
      <c r="AL221" s="58" t="str">
        <f t="shared" ca="1" si="25"/>
        <v>09:30 - 13:00</v>
      </c>
      <c r="AM221" s="151">
        <v>1</v>
      </c>
      <c r="AN221" s="95">
        <f t="shared" si="24"/>
        <v>300000</v>
      </c>
      <c r="AO221" s="94" t="b">
        <v>1</v>
      </c>
      <c r="AP221" s="34">
        <f t="shared" si="26"/>
        <v>303</v>
      </c>
      <c r="AQ221" s="23">
        <f t="shared" si="27"/>
        <v>1</v>
      </c>
      <c r="AR221" s="35" t="s">
        <v>48</v>
      </c>
      <c r="AW221" s="63" t="str">
        <f t="shared" ca="1" si="28"/>
        <v>12:36:11</v>
      </c>
      <c r="AX221" s="172"/>
      <c r="AY221" s="160">
        <v>1</v>
      </c>
      <c r="AZ221" s="10"/>
      <c r="BA221" s="104" t="str">
        <f t="shared" si="29"/>
        <v>НАХАБИНО-КОРОЛЕВА-2</v>
      </c>
      <c r="BB221" s="133">
        <f>AP221*3.5+10*60</f>
        <v>1660.5</v>
      </c>
      <c r="BD221" s="123"/>
      <c r="BE221" s="117" t="s">
        <v>1315</v>
      </c>
      <c r="BF221" s="89">
        <v>-23.25333333333333</v>
      </c>
      <c r="BG221" s="89" t="s">
        <v>1315</v>
      </c>
      <c r="BH221" s="89" t="s">
        <v>1315</v>
      </c>
      <c r="BI221" s="89" t="s">
        <v>1315</v>
      </c>
      <c r="BJ221" s="89" t="s">
        <v>1315</v>
      </c>
      <c r="BK221" s="89" t="s">
        <v>1315</v>
      </c>
      <c r="BL221" s="10" t="s">
        <v>397</v>
      </c>
    </row>
    <row r="222" spans="3:64" ht="15" customHeight="1" x14ac:dyDescent="0.3">
      <c r="C222" s="1">
        <v>609</v>
      </c>
      <c r="D222" s="6">
        <v>742</v>
      </c>
      <c r="E222" s="6">
        <v>4742</v>
      </c>
      <c r="F222" s="1" t="s">
        <v>1456</v>
      </c>
      <c r="G222" s="8" t="s">
        <v>50</v>
      </c>
      <c r="H222" s="9">
        <v>8.51</v>
      </c>
      <c r="I222" s="9">
        <v>7.5</v>
      </c>
      <c r="J222" s="9" t="s">
        <v>1821</v>
      </c>
      <c r="K222" s="1" t="s">
        <v>1757</v>
      </c>
      <c r="L222" s="2" t="s">
        <v>44</v>
      </c>
      <c r="M222" s="2" t="s">
        <v>1328</v>
      </c>
      <c r="N222" s="1">
        <v>1</v>
      </c>
      <c r="O222" s="1">
        <v>1</v>
      </c>
      <c r="P222" s="1" t="s">
        <v>51</v>
      </c>
      <c r="Q222" s="10" t="s">
        <v>694</v>
      </c>
      <c r="R222" t="s">
        <v>2277</v>
      </c>
      <c r="S222" t="s">
        <v>2278</v>
      </c>
      <c r="T222">
        <v>89775949368</v>
      </c>
      <c r="U222" t="s">
        <v>2181</v>
      </c>
      <c r="V222" t="s">
        <v>2279</v>
      </c>
      <c r="W222">
        <v>9955446171</v>
      </c>
      <c r="X222" t="s">
        <v>2183</v>
      </c>
      <c r="Y222" t="s">
        <v>2118</v>
      </c>
      <c r="Z222" t="s">
        <v>2184</v>
      </c>
      <c r="AA222">
        <v>8</v>
      </c>
      <c r="AB222" s="6" t="s">
        <v>1667</v>
      </c>
      <c r="AC222" s="2" t="s">
        <v>695</v>
      </c>
      <c r="AF222" s="14" t="s">
        <v>732</v>
      </c>
      <c r="AG222" s="5" t="s">
        <v>28</v>
      </c>
      <c r="AH222" s="5">
        <v>100</v>
      </c>
      <c r="AI222" s="6">
        <v>2</v>
      </c>
      <c r="AJ222" s="13" t="s">
        <v>1328</v>
      </c>
      <c r="AK222" s="58">
        <v>0.5</v>
      </c>
      <c r="AL222" s="58" t="str">
        <f t="shared" si="25"/>
        <v>09:00 - 12:00</v>
      </c>
      <c r="AM222" s="151"/>
      <c r="AN222" s="95">
        <f t="shared" si="24"/>
        <v>300000</v>
      </c>
      <c r="AO222" s="94" t="b">
        <v>1</v>
      </c>
      <c r="AP222" s="34">
        <f t="shared" si="26"/>
        <v>320.2</v>
      </c>
      <c r="AQ222" s="23">
        <f t="shared" si="27"/>
        <v>1</v>
      </c>
      <c r="AR222" s="35" t="s">
        <v>48</v>
      </c>
      <c r="AW222" s="63" t="str">
        <f t="shared" si="28"/>
        <v>09:00</v>
      </c>
      <c r="AX222" s="152"/>
      <c r="AY222" s="160">
        <v>1</v>
      </c>
      <c r="AZ222" s="10"/>
      <c r="BA222" s="104" t="str">
        <f t="shared" si="29"/>
        <v>ЖИТНАЯ-10</v>
      </c>
      <c r="BB222" s="86">
        <f>AP222*3.8+10*60</f>
        <v>1816.76</v>
      </c>
      <c r="BD222" s="123"/>
      <c r="BE222" s="117" t="s">
        <v>1315</v>
      </c>
      <c r="BF222" s="89" t="s">
        <v>1315</v>
      </c>
      <c r="BG222" s="89" t="s">
        <v>1315</v>
      </c>
      <c r="BH222" s="89" t="s">
        <v>1315</v>
      </c>
      <c r="BI222" s="89" t="s">
        <v>1315</v>
      </c>
      <c r="BJ222" s="89" t="s">
        <v>1315</v>
      </c>
      <c r="BK222" s="89" t="s">
        <v>1315</v>
      </c>
      <c r="BL222" s="1" t="s">
        <v>693</v>
      </c>
    </row>
    <row r="223" spans="3:64" ht="15" customHeight="1" x14ac:dyDescent="0.3">
      <c r="C223" s="1">
        <v>596</v>
      </c>
      <c r="D223" s="6">
        <v>690</v>
      </c>
      <c r="E223" s="6">
        <v>7690</v>
      </c>
      <c r="F223" s="1" t="s">
        <v>1632</v>
      </c>
      <c r="G223" s="8" t="s">
        <v>50</v>
      </c>
      <c r="H223" s="9">
        <v>26.56</v>
      </c>
      <c r="I223" s="9">
        <v>7.26</v>
      </c>
      <c r="J223" s="9" t="s">
        <v>1315</v>
      </c>
      <c r="K223" s="1" t="s">
        <v>1757</v>
      </c>
      <c r="L223" s="2" t="s">
        <v>44</v>
      </c>
      <c r="M223" s="2" t="s">
        <v>1969</v>
      </c>
      <c r="N223" s="1">
        <v>1</v>
      </c>
      <c r="O223" s="1">
        <v>2</v>
      </c>
      <c r="P223" s="1" t="s">
        <v>51</v>
      </c>
      <c r="Q223" s="1" t="s">
        <v>1208</v>
      </c>
      <c r="R223" t="s">
        <v>2277</v>
      </c>
      <c r="S223" t="s">
        <v>2278</v>
      </c>
      <c r="T223">
        <v>89775949368</v>
      </c>
      <c r="U223" t="s">
        <v>2181</v>
      </c>
      <c r="V223" t="s">
        <v>2279</v>
      </c>
      <c r="W223">
        <v>9955446171</v>
      </c>
      <c r="X223" t="s">
        <v>2183</v>
      </c>
      <c r="Y223" t="s">
        <v>2118</v>
      </c>
      <c r="Z223" t="s">
        <v>2184</v>
      </c>
      <c r="AA223">
        <v>8</v>
      </c>
      <c r="AB223" s="6" t="s">
        <v>1319</v>
      </c>
      <c r="AC223" s="2" t="s">
        <v>680</v>
      </c>
      <c r="AF223" s="14" t="s">
        <v>732</v>
      </c>
      <c r="AG223" s="5" t="s">
        <v>28</v>
      </c>
      <c r="AH223" s="5">
        <v>100</v>
      </c>
      <c r="AI223" s="6">
        <v>2</v>
      </c>
      <c r="AJ223" s="13" t="s">
        <v>1328</v>
      </c>
      <c r="AK223" s="58">
        <v>0.54166666666666696</v>
      </c>
      <c r="AL223" s="58" t="str">
        <f t="shared" si="25"/>
        <v>09:00 - 13:00</v>
      </c>
      <c r="AM223" s="151"/>
      <c r="AN223" s="95">
        <f t="shared" si="24"/>
        <v>300000</v>
      </c>
      <c r="AO223" s="94" t="b">
        <v>1</v>
      </c>
      <c r="AP223" s="34">
        <f t="shared" si="26"/>
        <v>676.39999999999986</v>
      </c>
      <c r="AQ223" s="23">
        <f t="shared" si="27"/>
        <v>2</v>
      </c>
      <c r="AR223" s="35" t="s">
        <v>48</v>
      </c>
      <c r="AW223" s="63" t="str">
        <f t="shared" si="28"/>
        <v>10:04:44</v>
      </c>
      <c r="AX223" s="152"/>
      <c r="AY223" s="160">
        <v>1</v>
      </c>
      <c r="AZ223" s="10"/>
      <c r="BA223" s="104" t="str">
        <f t="shared" si="29"/>
        <v>В-КРАСНОСЕЛЬСКАЯ-10</v>
      </c>
      <c r="BB223" s="70">
        <f>AP223*4.1+10*60</f>
        <v>3373.2399999999993</v>
      </c>
      <c r="BD223" s="123"/>
      <c r="BE223" s="117" t="s">
        <v>1315</v>
      </c>
      <c r="BF223" s="89" t="s">
        <v>1315</v>
      </c>
      <c r="BG223" s="89" t="s">
        <v>1315</v>
      </c>
      <c r="BH223" s="89" t="s">
        <v>1315</v>
      </c>
      <c r="BI223" s="89" t="s">
        <v>1315</v>
      </c>
      <c r="BJ223" s="89" t="s">
        <v>1315</v>
      </c>
      <c r="BK223" s="89" t="s">
        <v>1315</v>
      </c>
      <c r="BL223" s="1" t="s">
        <v>679</v>
      </c>
    </row>
    <row r="224" spans="3:64" ht="15" customHeight="1" x14ac:dyDescent="0.3">
      <c r="C224" s="1">
        <v>526</v>
      </c>
      <c r="D224" s="6">
        <v>754</v>
      </c>
      <c r="E224" s="6">
        <v>4754</v>
      </c>
      <c r="F224" s="1" t="s">
        <v>1452</v>
      </c>
      <c r="G224" s="8" t="s">
        <v>50</v>
      </c>
      <c r="H224" s="9">
        <v>31.33</v>
      </c>
      <c r="I224" s="9">
        <v>13.84</v>
      </c>
      <c r="J224" s="9" t="s">
        <v>1315</v>
      </c>
      <c r="K224" s="1" t="s">
        <v>1757</v>
      </c>
      <c r="M224" s="2" t="s">
        <v>2012</v>
      </c>
      <c r="N224" s="1">
        <v>1</v>
      </c>
      <c r="O224" s="1">
        <v>3</v>
      </c>
      <c r="P224" s="1" t="s">
        <v>51</v>
      </c>
      <c r="Q224" s="10" t="s">
        <v>160</v>
      </c>
      <c r="R224" t="s">
        <v>2277</v>
      </c>
      <c r="S224" t="s">
        <v>2278</v>
      </c>
      <c r="T224">
        <v>89775949368</v>
      </c>
      <c r="U224" t="s">
        <v>2181</v>
      </c>
      <c r="V224" t="s">
        <v>2279</v>
      </c>
      <c r="W224">
        <v>9955446171</v>
      </c>
      <c r="X224" t="s">
        <v>2183</v>
      </c>
      <c r="Y224" t="s">
        <v>2118</v>
      </c>
      <c r="Z224" t="s">
        <v>2184</v>
      </c>
      <c r="AA224">
        <v>8</v>
      </c>
      <c r="AB224" s="6" t="s">
        <v>1123</v>
      </c>
      <c r="AC224" s="2" t="s">
        <v>161</v>
      </c>
      <c r="AF224" s="14" t="s">
        <v>732</v>
      </c>
      <c r="AG224" s="5" t="s">
        <v>28</v>
      </c>
      <c r="AH224" s="5">
        <v>100</v>
      </c>
      <c r="AI224" s="6">
        <v>2</v>
      </c>
      <c r="AJ224" s="13" t="s">
        <v>1328</v>
      </c>
      <c r="AK224" s="58">
        <v>0.54166666666666696</v>
      </c>
      <c r="AL224" s="58" t="str">
        <f t="shared" si="25"/>
        <v>09:00 - 13:00</v>
      </c>
      <c r="AM224" s="151"/>
      <c r="AN224" s="95">
        <f t="shared" si="24"/>
        <v>300000</v>
      </c>
      <c r="AO224" s="94" t="b">
        <v>1</v>
      </c>
      <c r="AP224" s="34">
        <f t="shared" si="26"/>
        <v>903.39999999999986</v>
      </c>
      <c r="AQ224" s="23">
        <f t="shared" si="27"/>
        <v>2</v>
      </c>
      <c r="AR224" s="35" t="s">
        <v>48</v>
      </c>
      <c r="AW224" s="63" t="str">
        <f t="shared" si="28"/>
        <v>11:16:33</v>
      </c>
      <c r="AX224" s="152"/>
      <c r="AY224" s="160">
        <v>1</v>
      </c>
      <c r="AZ224" s="10"/>
      <c r="BA224" s="104" t="str">
        <f t="shared" si="29"/>
        <v>РОГОЖСКИЙ-ВАЛ-4</v>
      </c>
      <c r="BB224" s="86">
        <f>AP224*3.3+10*60</f>
        <v>3581.2199999999993</v>
      </c>
      <c r="BD224" s="123"/>
      <c r="BE224" s="117">
        <v>-12.585666666666668</v>
      </c>
      <c r="BF224" s="89" t="s">
        <v>1315</v>
      </c>
      <c r="BG224" s="89" t="s">
        <v>1315</v>
      </c>
      <c r="BH224" s="89">
        <v>-42.31433333333333</v>
      </c>
      <c r="BI224" s="89" t="s">
        <v>1315</v>
      </c>
      <c r="BJ224" s="89" t="s">
        <v>1315</v>
      </c>
      <c r="BK224" s="89" t="s">
        <v>1315</v>
      </c>
      <c r="BL224" s="1" t="s">
        <v>159</v>
      </c>
    </row>
    <row r="225" spans="3:64" ht="15" customHeight="1" x14ac:dyDescent="0.3">
      <c r="C225" s="1">
        <v>601</v>
      </c>
      <c r="D225" s="6">
        <v>78</v>
      </c>
      <c r="E225" s="6">
        <v>7078</v>
      </c>
      <c r="F225" s="1" t="s">
        <v>1635</v>
      </c>
      <c r="G225" s="8" t="s">
        <v>50</v>
      </c>
      <c r="H225" s="9">
        <v>37.61</v>
      </c>
      <c r="I225" s="9">
        <v>13.39</v>
      </c>
      <c r="J225" s="9" t="s">
        <v>1315</v>
      </c>
      <c r="K225" s="1" t="s">
        <v>1757</v>
      </c>
      <c r="L225" s="2" t="s">
        <v>44</v>
      </c>
      <c r="M225" s="2" t="s">
        <v>1985</v>
      </c>
      <c r="N225" s="1">
        <v>1</v>
      </c>
      <c r="O225" s="1">
        <v>4</v>
      </c>
      <c r="P225" s="1" t="s">
        <v>51</v>
      </c>
      <c r="Q225" s="10" t="s">
        <v>685</v>
      </c>
      <c r="R225" t="s">
        <v>2277</v>
      </c>
      <c r="S225" t="s">
        <v>2278</v>
      </c>
      <c r="T225">
        <v>89775949368</v>
      </c>
      <c r="U225" t="s">
        <v>2181</v>
      </c>
      <c r="V225" t="s">
        <v>2279</v>
      </c>
      <c r="W225">
        <v>9955446171</v>
      </c>
      <c r="X225" t="s">
        <v>2183</v>
      </c>
      <c r="Y225" t="s">
        <v>2118</v>
      </c>
      <c r="Z225" t="s">
        <v>2184</v>
      </c>
      <c r="AA225">
        <v>8</v>
      </c>
      <c r="AB225" s="6" t="s">
        <v>1335</v>
      </c>
      <c r="AC225" s="2" t="s">
        <v>686</v>
      </c>
      <c r="AF225" s="14" t="s">
        <v>732</v>
      </c>
      <c r="AG225" s="5" t="s">
        <v>28</v>
      </c>
      <c r="AH225" s="5">
        <v>100</v>
      </c>
      <c r="AI225" s="6">
        <v>2</v>
      </c>
      <c r="AJ225" s="13" t="s">
        <v>1329</v>
      </c>
      <c r="AK225" s="58">
        <v>0.54166666666666696</v>
      </c>
      <c r="AL225" s="58" t="str">
        <f t="shared" si="25"/>
        <v>09:30 - 13:00</v>
      </c>
      <c r="AM225" s="151"/>
      <c r="AN225" s="95">
        <f t="shared" si="24"/>
        <v>326400</v>
      </c>
      <c r="AO225" s="94" t="b">
        <v>1</v>
      </c>
      <c r="AP225" s="34">
        <f t="shared" si="26"/>
        <v>1020</v>
      </c>
      <c r="AQ225" s="23">
        <f t="shared" si="27"/>
        <v>2</v>
      </c>
      <c r="AR225" s="35" t="s">
        <v>48</v>
      </c>
      <c r="AW225" s="63" t="str">
        <f t="shared" si="28"/>
        <v>12:21:54</v>
      </c>
      <c r="AX225" s="152"/>
      <c r="AY225" s="160">
        <v>1</v>
      </c>
      <c r="AZ225" s="10"/>
      <c r="BA225" s="104" t="str">
        <f t="shared" si="29"/>
        <v>М-КАЛИТНИКОВСКАЯ-1</v>
      </c>
      <c r="BB225" s="86">
        <f>AP225*4+10*60</f>
        <v>4680</v>
      </c>
      <c r="BD225" s="123"/>
      <c r="BE225" s="117" t="s">
        <v>1315</v>
      </c>
      <c r="BF225" s="89" t="s">
        <v>1315</v>
      </c>
      <c r="BG225" s="89" t="s">
        <v>1315</v>
      </c>
      <c r="BH225" s="89">
        <v>-10.086666666666659</v>
      </c>
      <c r="BI225" s="89" t="s">
        <v>1315</v>
      </c>
      <c r="BJ225" s="89" t="s">
        <v>1315</v>
      </c>
      <c r="BK225" s="89" t="s">
        <v>1315</v>
      </c>
      <c r="BL225" s="1" t="s">
        <v>684</v>
      </c>
    </row>
    <row r="226" spans="3:64" ht="15" customHeight="1" x14ac:dyDescent="0.3">
      <c r="C226" s="1">
        <v>398</v>
      </c>
      <c r="D226" s="6">
        <v>786</v>
      </c>
      <c r="E226" s="6">
        <v>4786</v>
      </c>
      <c r="F226" s="36" t="s">
        <v>1559</v>
      </c>
      <c r="G226" s="8" t="s">
        <v>50</v>
      </c>
      <c r="H226" s="9">
        <v>3.95</v>
      </c>
      <c r="I226" s="9">
        <v>3.91</v>
      </c>
      <c r="J226" s="9" t="s">
        <v>1829</v>
      </c>
      <c r="K226" s="1" t="s">
        <v>1769</v>
      </c>
      <c r="L226" s="2">
        <v>2</v>
      </c>
      <c r="M226" s="2" t="s">
        <v>2031</v>
      </c>
      <c r="N226" s="1">
        <v>1</v>
      </c>
      <c r="O226" s="1">
        <v>1</v>
      </c>
      <c r="P226" s="1" t="s">
        <v>51</v>
      </c>
      <c r="Q226" s="10" t="s">
        <v>506</v>
      </c>
      <c r="R226" t="s">
        <v>2280</v>
      </c>
      <c r="S226" t="s">
        <v>2281</v>
      </c>
      <c r="T226">
        <v>89774114135</v>
      </c>
      <c r="U226" t="s">
        <v>2181</v>
      </c>
      <c r="V226" t="s">
        <v>2282</v>
      </c>
      <c r="W226">
        <v>9955446448</v>
      </c>
      <c r="X226" t="s">
        <v>2183</v>
      </c>
      <c r="Y226" t="s">
        <v>2118</v>
      </c>
      <c r="Z226" t="s">
        <v>2184</v>
      </c>
      <c r="AA226">
        <v>8</v>
      </c>
      <c r="AB226" s="6" t="s">
        <v>924</v>
      </c>
      <c r="AC226" s="2" t="s">
        <v>507</v>
      </c>
      <c r="AF226" s="153" t="s">
        <v>1672</v>
      </c>
      <c r="AI226" s="6">
        <v>2</v>
      </c>
      <c r="AJ226" s="13" t="s">
        <v>1329</v>
      </c>
      <c r="AK226" s="58">
        <v>0.54166666666666696</v>
      </c>
      <c r="AL226" s="58" t="str">
        <f t="shared" si="25"/>
        <v>09:30 - 13:00</v>
      </c>
      <c r="AM226" s="151">
        <v>6</v>
      </c>
      <c r="AN226" s="95">
        <f t="shared" si="24"/>
        <v>300000</v>
      </c>
      <c r="AO226" s="94" t="b">
        <v>1</v>
      </c>
      <c r="AP226" s="34">
        <f t="shared" si="26"/>
        <v>157.19999999999999</v>
      </c>
      <c r="AQ226" s="23">
        <f t="shared" si="27"/>
        <v>1</v>
      </c>
      <c r="AR226" s="35" t="s">
        <v>48</v>
      </c>
      <c r="AW226" s="63" t="str">
        <f t="shared" si="28"/>
        <v>11:17:19</v>
      </c>
      <c r="AX226" s="152"/>
      <c r="AY226" s="160">
        <v>1</v>
      </c>
      <c r="AZ226" s="10"/>
      <c r="BA226" s="104" t="str">
        <f t="shared" si="29"/>
        <v>БЕРЕГОВОЙ-ПР-Д-4/6С3</v>
      </c>
      <c r="BB226" s="87">
        <f>AP226*3.5+10*60</f>
        <v>1150.1999999999998</v>
      </c>
      <c r="BD226" s="123"/>
      <c r="BE226" s="117" t="s">
        <v>1315</v>
      </c>
      <c r="BF226" s="89" t="s">
        <v>1315</v>
      </c>
      <c r="BG226" s="89" t="s">
        <v>1315</v>
      </c>
      <c r="BH226" s="89" t="s">
        <v>1315</v>
      </c>
      <c r="BI226" s="89" t="s">
        <v>1315</v>
      </c>
      <c r="BJ226" s="89" t="s">
        <v>1315</v>
      </c>
      <c r="BK226" s="89">
        <v>-21.38666666666667</v>
      </c>
      <c r="BL226" s="36" t="s">
        <v>505</v>
      </c>
    </row>
    <row r="227" spans="3:64" ht="15" customHeight="1" x14ac:dyDescent="0.3">
      <c r="C227" s="1">
        <v>194</v>
      </c>
      <c r="D227" s="6">
        <v>613</v>
      </c>
      <c r="E227" s="6">
        <v>7613</v>
      </c>
      <c r="F227" s="1" t="s">
        <v>1493</v>
      </c>
      <c r="G227" s="8" t="s">
        <v>50</v>
      </c>
      <c r="H227" s="9">
        <v>66.709999999999994</v>
      </c>
      <c r="I227" s="9">
        <v>22.71</v>
      </c>
      <c r="J227" s="9" t="s">
        <v>1315</v>
      </c>
      <c r="K227" s="1" t="s">
        <v>1769</v>
      </c>
      <c r="M227" s="2" t="s">
        <v>2068</v>
      </c>
      <c r="N227" s="1">
        <v>1</v>
      </c>
      <c r="O227" s="1">
        <v>2</v>
      </c>
      <c r="P227" s="1" t="s">
        <v>51</v>
      </c>
      <c r="Q227" s="10" t="s">
        <v>364</v>
      </c>
      <c r="R227" t="s">
        <v>2280</v>
      </c>
      <c r="S227" t="s">
        <v>2281</v>
      </c>
      <c r="T227">
        <v>89774114135</v>
      </c>
      <c r="U227" t="s">
        <v>2181</v>
      </c>
      <c r="V227" t="s">
        <v>2282</v>
      </c>
      <c r="W227">
        <v>9955446448</v>
      </c>
      <c r="X227" t="s">
        <v>2183</v>
      </c>
      <c r="Y227" t="s">
        <v>2118</v>
      </c>
      <c r="Z227" t="s">
        <v>2184</v>
      </c>
      <c r="AA227">
        <v>8</v>
      </c>
      <c r="AB227" s="6" t="s">
        <v>835</v>
      </c>
      <c r="AC227" s="2" t="s">
        <v>365</v>
      </c>
      <c r="AF227" s="167" t="s">
        <v>1672</v>
      </c>
      <c r="AI227" s="6">
        <v>2</v>
      </c>
      <c r="AJ227" s="13" t="s">
        <v>1328</v>
      </c>
      <c r="AK227" s="58">
        <v>0.54166666666666696</v>
      </c>
      <c r="AL227" s="58" t="str">
        <f t="shared" si="25"/>
        <v>09:00 - 13:00</v>
      </c>
      <c r="AM227" s="151">
        <v>1</v>
      </c>
      <c r="AN227" s="95">
        <f t="shared" si="24"/>
        <v>572288</v>
      </c>
      <c r="AO227" s="94" t="b">
        <v>1</v>
      </c>
      <c r="AP227" s="34">
        <f t="shared" si="26"/>
        <v>1788.3999999999999</v>
      </c>
      <c r="AQ227" s="23">
        <f t="shared" si="27"/>
        <v>4</v>
      </c>
      <c r="AR227" s="35" t="s">
        <v>48</v>
      </c>
      <c r="AW227" s="63" t="str">
        <f t="shared" si="28"/>
        <v>12:06:42</v>
      </c>
      <c r="AX227" s="172"/>
      <c r="AY227" s="160">
        <v>1</v>
      </c>
      <c r="AZ227" s="10"/>
      <c r="BA227" s="104" t="str">
        <f t="shared" si="29"/>
        <v>ЛЕНИНГРАДСКИЙ-ПР-Т-74С1</v>
      </c>
      <c r="BB227" s="85">
        <f>AP227*3+10*60</f>
        <v>5965.2</v>
      </c>
      <c r="BD227" s="123"/>
      <c r="BE227" s="117" t="s">
        <v>1315</v>
      </c>
      <c r="BF227" s="89">
        <v>-29.196666666666673</v>
      </c>
      <c r="BG227" s="89" t="s">
        <v>1315</v>
      </c>
      <c r="BH227" s="89" t="s">
        <v>1315</v>
      </c>
      <c r="BI227" s="89" t="s">
        <v>1315</v>
      </c>
      <c r="BJ227" s="89">
        <v>7.7133333333332814</v>
      </c>
      <c r="BK227" s="89" t="s">
        <v>1315</v>
      </c>
      <c r="BL227" s="1" t="s">
        <v>363</v>
      </c>
    </row>
    <row r="228" spans="3:64" ht="15" customHeight="1" x14ac:dyDescent="0.3">
      <c r="C228" s="1">
        <v>276</v>
      </c>
      <c r="D228" s="6">
        <v>605</v>
      </c>
      <c r="E228" s="6">
        <v>7605</v>
      </c>
      <c r="F228" s="1" t="s">
        <v>1520</v>
      </c>
      <c r="G228" s="8" t="s">
        <v>50</v>
      </c>
      <c r="H228" s="9">
        <v>35.709999999999994</v>
      </c>
      <c r="I228" s="9">
        <v>13.51</v>
      </c>
      <c r="J228" s="9" t="s">
        <v>1315</v>
      </c>
      <c r="K228" s="1" t="s">
        <v>1769</v>
      </c>
      <c r="M228" s="2" t="s">
        <v>2018</v>
      </c>
      <c r="N228" s="1">
        <v>1</v>
      </c>
      <c r="O228" s="1">
        <v>3</v>
      </c>
      <c r="P228" s="1" t="s">
        <v>51</v>
      </c>
      <c r="Q228" s="10" t="s">
        <v>64</v>
      </c>
      <c r="R228" t="s">
        <v>2280</v>
      </c>
      <c r="S228" t="s">
        <v>2281</v>
      </c>
      <c r="T228">
        <v>89774114135</v>
      </c>
      <c r="U228" t="s">
        <v>2181</v>
      </c>
      <c r="V228" t="s">
        <v>2282</v>
      </c>
      <c r="W228">
        <v>9955446448</v>
      </c>
      <c r="X228" t="s">
        <v>2183</v>
      </c>
      <c r="Y228" t="s">
        <v>2118</v>
      </c>
      <c r="Z228" t="s">
        <v>2184</v>
      </c>
      <c r="AA228">
        <v>8</v>
      </c>
      <c r="AB228" s="6" t="s">
        <v>872</v>
      </c>
      <c r="AC228" s="2" t="s">
        <v>65</v>
      </c>
      <c r="AF228" s="14" t="s">
        <v>732</v>
      </c>
      <c r="AG228" s="5" t="s">
        <v>28</v>
      </c>
      <c r="AH228" s="5">
        <v>100</v>
      </c>
      <c r="AI228" s="6">
        <v>2</v>
      </c>
      <c r="AJ228" s="13" t="s">
        <v>1329</v>
      </c>
      <c r="AK228" s="142" t="str">
        <f>IF(AP228&gt;2000,"15:00",IF(AP228&lt;1000,"16:30","16:00"))</f>
        <v>16:30</v>
      </c>
      <c r="AL228" s="58" t="str">
        <f t="shared" si="25"/>
        <v>09:30 - 16:30</v>
      </c>
      <c r="AM228" s="151"/>
      <c r="AN228" s="95">
        <f t="shared" ref="AN228:AN247" si="30">IF(AP228&gt;1000,(AP228*320),300000)</f>
        <v>300000</v>
      </c>
      <c r="AO228" s="94" t="b">
        <v>1</v>
      </c>
      <c r="AP228" s="34">
        <f t="shared" si="26"/>
        <v>984.39999999999986</v>
      </c>
      <c r="AQ228" s="23">
        <f t="shared" si="27"/>
        <v>2</v>
      </c>
      <c r="AR228" s="35" t="s">
        <v>48</v>
      </c>
      <c r="AW228" s="63" t="str">
        <f t="shared" si="28"/>
        <v>14:19:00</v>
      </c>
      <c r="AX228" s="152"/>
      <c r="AY228" s="160">
        <v>2</v>
      </c>
      <c r="AZ228" s="10"/>
      <c r="BA228" s="104" t="str">
        <f t="shared" si="29"/>
        <v>АСТРАХАНСКИЙ-ПЕР-1/15</v>
      </c>
      <c r="BB228" s="70">
        <f>AP228*4.1+10*60</f>
        <v>4636.0399999999991</v>
      </c>
      <c r="BD228" s="123"/>
      <c r="BE228" s="117" t="s">
        <v>1315</v>
      </c>
      <c r="BF228" s="89" t="s">
        <v>1315</v>
      </c>
      <c r="BG228" s="89" t="s">
        <v>1315</v>
      </c>
      <c r="BH228" s="89" t="s">
        <v>1315</v>
      </c>
      <c r="BI228" s="89" t="s">
        <v>1315</v>
      </c>
      <c r="BJ228" s="89" t="s">
        <v>1315</v>
      </c>
      <c r="BK228" s="89" t="s">
        <v>1315</v>
      </c>
      <c r="BL228" s="1" t="s">
        <v>63</v>
      </c>
    </row>
    <row r="229" spans="3:64" ht="15" customHeight="1" x14ac:dyDescent="0.3">
      <c r="C229" s="1">
        <v>511</v>
      </c>
      <c r="D229" s="6">
        <v>956</v>
      </c>
      <c r="E229" s="6">
        <v>4956</v>
      </c>
      <c r="F229" s="37" t="s">
        <v>1416</v>
      </c>
      <c r="G229" s="8" t="s">
        <v>50</v>
      </c>
      <c r="H229" s="9">
        <v>25.43</v>
      </c>
      <c r="I229" s="9">
        <v>15.09</v>
      </c>
      <c r="J229" s="9" t="s">
        <v>1790</v>
      </c>
      <c r="K229" s="1" t="s">
        <v>1714</v>
      </c>
      <c r="M229" s="2" t="s">
        <v>1941</v>
      </c>
      <c r="N229" s="1">
        <v>1</v>
      </c>
      <c r="O229" s="1">
        <v>1</v>
      </c>
      <c r="P229" s="1" t="s">
        <v>51</v>
      </c>
      <c r="Q229" s="1" t="s">
        <v>52</v>
      </c>
      <c r="R229" t="s">
        <v>2283</v>
      </c>
      <c r="S229" t="s">
        <v>2284</v>
      </c>
      <c r="T229">
        <v>89776751011</v>
      </c>
      <c r="U229" t="s">
        <v>2181</v>
      </c>
      <c r="V229" t="s">
        <v>2285</v>
      </c>
      <c r="W229">
        <v>9949331676</v>
      </c>
      <c r="X229" t="s">
        <v>2183</v>
      </c>
      <c r="Y229" t="s">
        <v>2118</v>
      </c>
      <c r="Z229" t="s">
        <v>2184</v>
      </c>
      <c r="AA229">
        <v>8</v>
      </c>
      <c r="AB229" s="6" t="s">
        <v>1099</v>
      </c>
      <c r="AC229" s="2" t="s">
        <v>53</v>
      </c>
      <c r="AF229" s="167" t="s">
        <v>1672</v>
      </c>
      <c r="AI229" s="6">
        <v>2</v>
      </c>
      <c r="AJ229" s="13" t="s">
        <v>1328</v>
      </c>
      <c r="AK229" s="58">
        <v>0.54166666666666696</v>
      </c>
      <c r="AL229" s="58" t="str">
        <f t="shared" si="25"/>
        <v>09:00 - 13:00</v>
      </c>
      <c r="AM229" s="151">
        <v>5</v>
      </c>
      <c r="AN229" s="95">
        <f t="shared" si="30"/>
        <v>300000</v>
      </c>
      <c r="AO229" s="94" t="b">
        <v>1</v>
      </c>
      <c r="AP229" s="34">
        <f t="shared" si="26"/>
        <v>810.40000000000009</v>
      </c>
      <c r="AQ229" s="23">
        <f t="shared" si="27"/>
        <v>2</v>
      </c>
      <c r="AR229" s="35" t="s">
        <v>48</v>
      </c>
      <c r="AW229" s="63" t="str">
        <f t="shared" si="28"/>
        <v>09:25:05</v>
      </c>
      <c r="AX229" s="152"/>
      <c r="AY229" s="160">
        <v>1</v>
      </c>
      <c r="AZ229" s="10"/>
      <c r="BA229" s="104" t="str">
        <f t="shared" si="29"/>
        <v>ВЕРНАДСКОГО-61</v>
      </c>
      <c r="BB229" s="85">
        <f>AP229*3.6+10*60</f>
        <v>3517.4400000000005</v>
      </c>
      <c r="BD229" s="123"/>
      <c r="BE229" s="117" t="s">
        <v>1315</v>
      </c>
      <c r="BF229" s="89">
        <v>-18.559333333333342</v>
      </c>
      <c r="BG229" s="89" t="s">
        <v>1315</v>
      </c>
      <c r="BH229" s="89" t="s">
        <v>1315</v>
      </c>
      <c r="BI229" s="89">
        <v>19.345333333333301</v>
      </c>
      <c r="BJ229" s="89" t="s">
        <v>1315</v>
      </c>
      <c r="BK229" s="89">
        <v>8.0779999999999816</v>
      </c>
      <c r="BL229" s="37" t="s">
        <v>49</v>
      </c>
    </row>
    <row r="230" spans="3:64" ht="15" customHeight="1" x14ac:dyDescent="0.3">
      <c r="C230" s="1">
        <v>105</v>
      </c>
      <c r="D230" s="6">
        <v>7084</v>
      </c>
      <c r="E230" s="6">
        <v>4084</v>
      </c>
      <c r="F230" s="1" t="s">
        <v>1433</v>
      </c>
      <c r="G230" s="8" t="s">
        <v>50</v>
      </c>
      <c r="H230" s="9">
        <v>14.18</v>
      </c>
      <c r="I230" s="9">
        <v>5.0999999999999996</v>
      </c>
      <c r="J230" s="9" t="s">
        <v>1315</v>
      </c>
      <c r="K230" s="1" t="s">
        <v>1714</v>
      </c>
      <c r="M230" s="2" t="s">
        <v>2020</v>
      </c>
      <c r="N230" s="1">
        <v>1</v>
      </c>
      <c r="O230" s="1">
        <v>2</v>
      </c>
      <c r="P230" s="1" t="s">
        <v>51</v>
      </c>
      <c r="Q230" s="10" t="s">
        <v>1225</v>
      </c>
      <c r="R230" t="s">
        <v>2283</v>
      </c>
      <c r="S230" t="s">
        <v>2284</v>
      </c>
      <c r="T230">
        <v>89776751011</v>
      </c>
      <c r="U230" t="s">
        <v>2181</v>
      </c>
      <c r="V230" t="s">
        <v>2285</v>
      </c>
      <c r="W230">
        <v>9949331676</v>
      </c>
      <c r="X230" t="s">
        <v>2183</v>
      </c>
      <c r="Y230" t="s">
        <v>2118</v>
      </c>
      <c r="Z230" t="s">
        <v>2184</v>
      </c>
      <c r="AA230">
        <v>8</v>
      </c>
      <c r="AB230" s="6" t="s">
        <v>790</v>
      </c>
      <c r="AC230" s="2" t="s">
        <v>1226</v>
      </c>
      <c r="AD230"/>
      <c r="AE230"/>
      <c r="AF230" s="171" t="s">
        <v>732</v>
      </c>
      <c r="AI230" s="6">
        <v>2</v>
      </c>
      <c r="AJ230" s="13" t="s">
        <v>1329</v>
      </c>
      <c r="AK230" s="58">
        <v>0.54166666666666696</v>
      </c>
      <c r="AL230" s="58" t="str">
        <f t="shared" si="25"/>
        <v>09:30 - 13:00</v>
      </c>
      <c r="AM230" s="151">
        <v>5</v>
      </c>
      <c r="AN230" s="95">
        <f t="shared" si="30"/>
        <v>300000</v>
      </c>
      <c r="AO230" s="94" t="b">
        <v>1</v>
      </c>
      <c r="AP230" s="34">
        <f t="shared" si="26"/>
        <v>385.6</v>
      </c>
      <c r="AQ230" s="23">
        <f t="shared" si="27"/>
        <v>1</v>
      </c>
      <c r="AR230" s="35" t="s">
        <v>48</v>
      </c>
      <c r="AU230" s="46"/>
      <c r="AW230" s="63" t="str">
        <f t="shared" si="28"/>
        <v>10:32:42</v>
      </c>
      <c r="AX230" s="152"/>
      <c r="AY230" s="160">
        <v>1</v>
      </c>
      <c r="AZ230" s="10"/>
      <c r="BA230" s="104" t="str">
        <f t="shared" si="29"/>
        <v>ЛЕНИНСКИЙ-ПР-Т-99</v>
      </c>
      <c r="BB230" s="85">
        <f>AP230*3.5+10*60</f>
        <v>1949.6000000000001</v>
      </c>
      <c r="BD230" s="123"/>
      <c r="BE230" s="117">
        <v>16.883333333333333</v>
      </c>
      <c r="BF230" s="89" t="s">
        <v>1315</v>
      </c>
      <c r="BG230" s="89" t="s">
        <v>1315</v>
      </c>
      <c r="BH230" s="89" t="s">
        <v>1315</v>
      </c>
      <c r="BI230" s="89">
        <v>-64.325000000000017</v>
      </c>
      <c r="BJ230" s="89">
        <v>-11.580000000000009</v>
      </c>
      <c r="BK230" s="89" t="s">
        <v>1315</v>
      </c>
      <c r="BL230" s="1" t="s">
        <v>986</v>
      </c>
    </row>
    <row r="231" spans="3:64" ht="15" customHeight="1" x14ac:dyDescent="0.3">
      <c r="C231" s="1">
        <v>96</v>
      </c>
      <c r="D231" s="6">
        <v>609</v>
      </c>
      <c r="E231" s="6">
        <v>7609</v>
      </c>
      <c r="F231" s="1" t="s">
        <v>1406</v>
      </c>
      <c r="G231" s="8" t="s">
        <v>50</v>
      </c>
      <c r="H231" s="9">
        <v>10.88</v>
      </c>
      <c r="I231" s="9">
        <v>5.31</v>
      </c>
      <c r="J231" s="9" t="s">
        <v>1315</v>
      </c>
      <c r="K231" s="1" t="s">
        <v>1714</v>
      </c>
      <c r="M231" s="2" t="s">
        <v>2021</v>
      </c>
      <c r="N231" s="1">
        <v>1</v>
      </c>
      <c r="O231" s="1">
        <v>3</v>
      </c>
      <c r="P231" s="1" t="s">
        <v>51</v>
      </c>
      <c r="Q231" s="1" t="s">
        <v>298</v>
      </c>
      <c r="R231" t="s">
        <v>2283</v>
      </c>
      <c r="S231" t="s">
        <v>2284</v>
      </c>
      <c r="T231">
        <v>89776751011</v>
      </c>
      <c r="U231" t="s">
        <v>2181</v>
      </c>
      <c r="V231" t="s">
        <v>2285</v>
      </c>
      <c r="W231">
        <v>9949331676</v>
      </c>
      <c r="X231" t="s">
        <v>2183</v>
      </c>
      <c r="Y231" t="s">
        <v>2118</v>
      </c>
      <c r="Z231" t="s">
        <v>2184</v>
      </c>
      <c r="AA231">
        <v>8</v>
      </c>
      <c r="AB231" s="6" t="s">
        <v>785</v>
      </c>
      <c r="AC231" s="2" t="s">
        <v>299</v>
      </c>
      <c r="AF231" s="167" t="s">
        <v>1672</v>
      </c>
      <c r="AI231" s="6">
        <v>2</v>
      </c>
      <c r="AJ231" s="13" t="s">
        <v>1328</v>
      </c>
      <c r="AK231" s="58">
        <v>0.54166666666666696</v>
      </c>
      <c r="AL231" s="58" t="str">
        <f t="shared" si="25"/>
        <v>09:00 - 13:00</v>
      </c>
      <c r="AM231" s="151">
        <v>5</v>
      </c>
      <c r="AN231" s="95">
        <f t="shared" si="30"/>
        <v>300000</v>
      </c>
      <c r="AO231" s="94" t="b">
        <v>1</v>
      </c>
      <c r="AP231" s="34">
        <f t="shared" si="26"/>
        <v>323.8</v>
      </c>
      <c r="AQ231" s="23">
        <f t="shared" si="27"/>
        <v>1</v>
      </c>
      <c r="AR231" s="35" t="s">
        <v>48</v>
      </c>
      <c r="AU231" s="46"/>
      <c r="AW231" s="63" t="str">
        <f t="shared" si="28"/>
        <v>11:19:42</v>
      </c>
      <c r="AX231" s="152"/>
      <c r="AY231" s="160">
        <v>1</v>
      </c>
      <c r="AZ231" s="10"/>
      <c r="BA231" s="104" t="str">
        <f t="shared" si="29"/>
        <v>СТРОИТЕЛЕЙ-11К1</v>
      </c>
      <c r="BB231" s="85">
        <f>AP231*3.6+10*60</f>
        <v>1765.68</v>
      </c>
      <c r="BD231" s="123"/>
      <c r="BE231" s="117" t="s">
        <v>1315</v>
      </c>
      <c r="BF231" s="89">
        <v>-35.83</v>
      </c>
      <c r="BG231" s="89" t="s">
        <v>1315</v>
      </c>
      <c r="BH231" s="89" t="s">
        <v>1315</v>
      </c>
      <c r="BI231" s="89" t="s">
        <v>1315</v>
      </c>
      <c r="BJ231" s="89" t="s">
        <v>1315</v>
      </c>
      <c r="BK231" s="89">
        <v>-24.717333333333336</v>
      </c>
      <c r="BL231" s="1" t="s">
        <v>297</v>
      </c>
    </row>
    <row r="232" spans="3:64" ht="15" customHeight="1" x14ac:dyDescent="0.3">
      <c r="C232" s="1">
        <v>96</v>
      </c>
      <c r="D232" s="6">
        <v>609</v>
      </c>
      <c r="E232" s="6">
        <v>7609</v>
      </c>
      <c r="F232" s="1" t="s">
        <v>1406</v>
      </c>
      <c r="G232" s="8" t="s">
        <v>50</v>
      </c>
      <c r="H232" s="9">
        <v>10</v>
      </c>
      <c r="I232" s="9">
        <v>0</v>
      </c>
      <c r="J232" s="9" t="s">
        <v>1315</v>
      </c>
      <c r="K232" s="1" t="s">
        <v>1714</v>
      </c>
      <c r="M232" s="2" t="s">
        <v>2021</v>
      </c>
      <c r="N232" s="1">
        <v>1</v>
      </c>
      <c r="O232" s="1">
        <v>3</v>
      </c>
      <c r="P232" s="1" t="s">
        <v>51</v>
      </c>
      <c r="Q232" s="18" t="s">
        <v>2369</v>
      </c>
      <c r="R232" t="s">
        <v>2283</v>
      </c>
      <c r="S232" t="s">
        <v>2284</v>
      </c>
      <c r="T232">
        <v>89776751011</v>
      </c>
      <c r="U232" t="s">
        <v>2181</v>
      </c>
      <c r="V232" t="s">
        <v>2285</v>
      </c>
      <c r="W232">
        <v>9949331676</v>
      </c>
      <c r="X232" t="s">
        <v>2183</v>
      </c>
      <c r="Y232" t="s">
        <v>2118</v>
      </c>
      <c r="Z232" t="s">
        <v>2184</v>
      </c>
      <c r="AA232">
        <v>8</v>
      </c>
      <c r="AB232" s="6" t="s">
        <v>2370</v>
      </c>
      <c r="AC232" s="2" t="s">
        <v>299</v>
      </c>
      <c r="AF232" s="167" t="s">
        <v>1672</v>
      </c>
      <c r="AI232" s="6">
        <v>2</v>
      </c>
      <c r="AJ232" s="13" t="s">
        <v>1328</v>
      </c>
      <c r="AK232" s="58">
        <v>0.54166666666666696</v>
      </c>
      <c r="AL232" s="58" t="str">
        <f t="shared" ref="AL232" si="31">CONCATENATE(TEXT(AJ232,"ЧЧ:ММ")," ","-"," ",TEXT(AK232,"ЧЧ:ММ"))</f>
        <v>09:00 - 13:00</v>
      </c>
      <c r="AM232" s="151">
        <v>5</v>
      </c>
      <c r="AN232" s="95">
        <f t="shared" ref="AN232" si="32">IF(AP232&gt;1000,(AP232*320),300000)</f>
        <v>300000</v>
      </c>
      <c r="AO232" s="94" t="b">
        <v>1</v>
      </c>
      <c r="AP232" s="34">
        <f t="shared" ref="AP232" si="33">H232*20+I232*20</f>
        <v>200</v>
      </c>
      <c r="AQ232" s="23">
        <f t="shared" ref="AQ232" si="34">IF(AP232&gt;520,ROUNDUP(((H232*20)/560+(I232*20)/550),0),IF(SUM(H232:I232)=0,0,IF(AP232&lt;255,1,ROUND(((H232*20)/520+(I232*20)/450),0))))</f>
        <v>1</v>
      </c>
      <c r="AR232" s="35" t="s">
        <v>48</v>
      </c>
      <c r="AU232" s="46"/>
      <c r="AW232" s="63" t="str">
        <f t="shared" ref="AW232" si="35">IF(TIMEVALUE(M232)&lt;TIMEVALUE(AJ232),AJ232,M232)</f>
        <v>11:19:42</v>
      </c>
      <c r="AX232" s="152"/>
      <c r="AY232" s="160">
        <v>1</v>
      </c>
      <c r="AZ232" s="10"/>
      <c r="BA232" s="104" t="str">
        <f t="shared" ref="BA232" si="36">F232</f>
        <v>СТРОИТЕЛЕЙ-11К1</v>
      </c>
      <c r="BB232" s="85">
        <f>AP232*3.6+10*60</f>
        <v>1320</v>
      </c>
      <c r="BD232" s="123"/>
      <c r="BE232" s="117" t="s">
        <v>1315</v>
      </c>
      <c r="BF232" s="89">
        <v>-35.83</v>
      </c>
      <c r="BG232" s="89" t="s">
        <v>1315</v>
      </c>
      <c r="BH232" s="89" t="s">
        <v>1315</v>
      </c>
      <c r="BI232" s="89" t="s">
        <v>1315</v>
      </c>
      <c r="BJ232" s="89" t="s">
        <v>1315</v>
      </c>
      <c r="BK232" s="89">
        <v>-24.717333333333336</v>
      </c>
      <c r="BL232" s="1" t="s">
        <v>297</v>
      </c>
    </row>
    <row r="233" spans="3:64" ht="15" customHeight="1" x14ac:dyDescent="0.3">
      <c r="C233" s="1">
        <v>123</v>
      </c>
      <c r="D233" s="6">
        <v>659</v>
      </c>
      <c r="E233" s="6">
        <v>7659</v>
      </c>
      <c r="F233" s="1" t="s">
        <v>1408</v>
      </c>
      <c r="G233" s="8" t="s">
        <v>50</v>
      </c>
      <c r="H233" s="9">
        <v>31.99</v>
      </c>
      <c r="I233" s="9">
        <v>11.65</v>
      </c>
      <c r="J233" s="9" t="s">
        <v>1315</v>
      </c>
      <c r="K233" s="1" t="s">
        <v>1714</v>
      </c>
      <c r="M233" s="2" t="s">
        <v>1991</v>
      </c>
      <c r="N233" s="1">
        <v>1</v>
      </c>
      <c r="O233" s="1">
        <v>4</v>
      </c>
      <c r="P233" s="1" t="s">
        <v>51</v>
      </c>
      <c r="Q233" s="10" t="s">
        <v>102</v>
      </c>
      <c r="R233" t="s">
        <v>2283</v>
      </c>
      <c r="S233" t="s">
        <v>2284</v>
      </c>
      <c r="T233">
        <v>89776751011</v>
      </c>
      <c r="U233" t="s">
        <v>2181</v>
      </c>
      <c r="V233" t="s">
        <v>2285</v>
      </c>
      <c r="W233">
        <v>9949331676</v>
      </c>
      <c r="X233" t="s">
        <v>2183</v>
      </c>
      <c r="Y233" t="s">
        <v>2118</v>
      </c>
      <c r="Z233" t="s">
        <v>2184</v>
      </c>
      <c r="AA233">
        <v>8</v>
      </c>
      <c r="AB233" s="6" t="s">
        <v>802</v>
      </c>
      <c r="AC233" s="2" t="s">
        <v>103</v>
      </c>
      <c r="AF233" s="14" t="s">
        <v>732</v>
      </c>
      <c r="AG233" s="5" t="s">
        <v>28</v>
      </c>
      <c r="AH233" s="5">
        <v>100</v>
      </c>
      <c r="AI233" s="6">
        <v>2</v>
      </c>
      <c r="AJ233" s="115" t="s">
        <v>1329</v>
      </c>
      <c r="AK233" s="58">
        <v>0.54166666666666696</v>
      </c>
      <c r="AL233" s="58" t="str">
        <f t="shared" si="25"/>
        <v>09:30 - 13:00</v>
      </c>
      <c r="AM233" s="151"/>
      <c r="AN233" s="95">
        <f t="shared" si="30"/>
        <v>300000</v>
      </c>
      <c r="AO233" s="94" t="b">
        <v>1</v>
      </c>
      <c r="AP233" s="34">
        <f t="shared" si="26"/>
        <v>872.8</v>
      </c>
      <c r="AQ233" s="23">
        <f t="shared" si="27"/>
        <v>2</v>
      </c>
      <c r="AR233" s="35" t="s">
        <v>48</v>
      </c>
      <c r="AU233" s="46"/>
      <c r="AW233" s="63" t="str">
        <f t="shared" si="28"/>
        <v>12:03:39</v>
      </c>
      <c r="AX233" s="152"/>
      <c r="AY233" s="160">
        <v>1</v>
      </c>
      <c r="AZ233" s="10"/>
      <c r="BA233" s="104" t="str">
        <f t="shared" si="29"/>
        <v>ЕФРЕМОВА-21</v>
      </c>
      <c r="BB233" s="85">
        <f>AP233*3+10*60</f>
        <v>3218.3999999999996</v>
      </c>
      <c r="BD233" s="123"/>
      <c r="BE233" s="117">
        <v>-28.330000000000005</v>
      </c>
      <c r="BF233" s="89">
        <v>138.82666666666668</v>
      </c>
      <c r="BG233" s="89">
        <v>-26.843333333333334</v>
      </c>
      <c r="BH233" s="89" t="s">
        <v>1315</v>
      </c>
      <c r="BI233" s="89" t="s">
        <v>1315</v>
      </c>
      <c r="BJ233" s="89">
        <v>-19.293333333333329</v>
      </c>
      <c r="BK233" s="89" t="s">
        <v>1315</v>
      </c>
      <c r="BL233" s="1" t="s">
        <v>101</v>
      </c>
    </row>
    <row r="234" spans="3:64" ht="15" customHeight="1" x14ac:dyDescent="0.3">
      <c r="C234" s="1">
        <v>121</v>
      </c>
      <c r="D234" s="6">
        <v>854</v>
      </c>
      <c r="E234" s="6">
        <v>4854</v>
      </c>
      <c r="F234" s="36" t="s">
        <v>1434</v>
      </c>
      <c r="G234" s="8" t="s">
        <v>50</v>
      </c>
      <c r="H234" s="9">
        <v>17.34</v>
      </c>
      <c r="I234" s="9">
        <v>3.22</v>
      </c>
      <c r="J234" s="9" t="s">
        <v>1315</v>
      </c>
      <c r="K234" s="1" t="s">
        <v>1714</v>
      </c>
      <c r="M234" s="2" t="s">
        <v>1875</v>
      </c>
      <c r="N234" s="1">
        <v>1</v>
      </c>
      <c r="O234" s="1">
        <v>5</v>
      </c>
      <c r="P234" s="1" t="s">
        <v>51</v>
      </c>
      <c r="Q234" s="1" t="s">
        <v>99</v>
      </c>
      <c r="R234" t="s">
        <v>2283</v>
      </c>
      <c r="S234" t="s">
        <v>2284</v>
      </c>
      <c r="T234">
        <v>89776751011</v>
      </c>
      <c r="U234" t="s">
        <v>2181</v>
      </c>
      <c r="V234" t="s">
        <v>2285</v>
      </c>
      <c r="W234">
        <v>9949331676</v>
      </c>
      <c r="X234" t="s">
        <v>2183</v>
      </c>
      <c r="Y234" t="s">
        <v>2118</v>
      </c>
      <c r="Z234" t="s">
        <v>2184</v>
      </c>
      <c r="AA234">
        <v>8</v>
      </c>
      <c r="AB234" s="6" t="s">
        <v>800</v>
      </c>
      <c r="AC234" s="2" t="s">
        <v>100</v>
      </c>
      <c r="AF234" s="14" t="s">
        <v>732</v>
      </c>
      <c r="AG234" s="5" t="s">
        <v>28</v>
      </c>
      <c r="AH234" s="5">
        <v>100</v>
      </c>
      <c r="AI234" s="6">
        <v>2</v>
      </c>
      <c r="AJ234" s="13" t="s">
        <v>1329</v>
      </c>
      <c r="AK234" s="58">
        <v>0.58333333333333337</v>
      </c>
      <c r="AL234" s="58" t="str">
        <f t="shared" si="25"/>
        <v>09:30 - 14:00</v>
      </c>
      <c r="AM234" s="151"/>
      <c r="AN234" s="95">
        <f t="shared" si="30"/>
        <v>300000</v>
      </c>
      <c r="AO234" s="94" t="b">
        <v>1</v>
      </c>
      <c r="AP234" s="34">
        <f t="shared" si="26"/>
        <v>411.20000000000005</v>
      </c>
      <c r="AQ234" s="23">
        <f t="shared" si="27"/>
        <v>1</v>
      </c>
      <c r="AR234" s="35" t="s">
        <v>48</v>
      </c>
      <c r="AU234" s="46"/>
      <c r="AW234" s="63" t="str">
        <f t="shared" si="28"/>
        <v>13:02:02</v>
      </c>
      <c r="AX234" s="152"/>
      <c r="AY234" s="160">
        <v>2</v>
      </c>
      <c r="AZ234" s="10"/>
      <c r="BA234" s="104" t="str">
        <f t="shared" si="29"/>
        <v>КОМСОМОЛЬСКИЙ-ПР-Т-38/16</v>
      </c>
      <c r="BB234" s="70">
        <f>AP234*4.1+10*60</f>
        <v>2285.92</v>
      </c>
      <c r="BD234" s="123"/>
      <c r="BE234" s="117" t="s">
        <v>1315</v>
      </c>
      <c r="BF234" s="89" t="s">
        <v>1315</v>
      </c>
      <c r="BG234" s="89" t="s">
        <v>1315</v>
      </c>
      <c r="BH234" s="89" t="s">
        <v>1315</v>
      </c>
      <c r="BI234" s="89" t="s">
        <v>1315</v>
      </c>
      <c r="BJ234" s="89" t="s">
        <v>1315</v>
      </c>
      <c r="BK234" s="89" t="s">
        <v>1315</v>
      </c>
      <c r="BL234" s="36" t="s">
        <v>98</v>
      </c>
    </row>
    <row r="235" spans="3:64" ht="15" customHeight="1" x14ac:dyDescent="0.3">
      <c r="C235" s="1">
        <v>120</v>
      </c>
      <c r="D235" s="6">
        <v>950</v>
      </c>
      <c r="E235" s="6">
        <v>4950</v>
      </c>
      <c r="F235" s="36" t="s">
        <v>1418</v>
      </c>
      <c r="G235" s="8" t="s">
        <v>50</v>
      </c>
      <c r="H235" s="9">
        <v>43.699999999999996</v>
      </c>
      <c r="I235" s="9">
        <v>13.76</v>
      </c>
      <c r="J235" s="9" t="s">
        <v>1791</v>
      </c>
      <c r="K235" s="1" t="s">
        <v>1741</v>
      </c>
      <c r="M235" s="2" t="s">
        <v>1329</v>
      </c>
      <c r="N235" s="1">
        <v>1</v>
      </c>
      <c r="O235" s="1">
        <v>1</v>
      </c>
      <c r="P235" s="1" t="s">
        <v>51</v>
      </c>
      <c r="Q235" s="1" t="s">
        <v>310</v>
      </c>
      <c r="R235" t="s">
        <v>2286</v>
      </c>
      <c r="S235" t="s">
        <v>2287</v>
      </c>
      <c r="T235">
        <v>89044580109</v>
      </c>
      <c r="U235" t="s">
        <v>2181</v>
      </c>
      <c r="V235" t="s">
        <v>2288</v>
      </c>
      <c r="W235">
        <v>9949330269</v>
      </c>
      <c r="X235" t="s">
        <v>2183</v>
      </c>
      <c r="Y235" t="s">
        <v>2289</v>
      </c>
      <c r="Z235" t="s">
        <v>2184</v>
      </c>
      <c r="AA235">
        <v>8</v>
      </c>
      <c r="AB235" s="6" t="s">
        <v>799</v>
      </c>
      <c r="AC235" s="2" t="s">
        <v>311</v>
      </c>
      <c r="AF235" s="14" t="s">
        <v>732</v>
      </c>
      <c r="AG235" s="5" t="s">
        <v>28</v>
      </c>
      <c r="AH235" s="5">
        <v>100</v>
      </c>
      <c r="AI235" s="6">
        <v>2</v>
      </c>
      <c r="AJ235" s="13" t="s">
        <v>1329</v>
      </c>
      <c r="AK235" s="58">
        <v>0.54166666666666696</v>
      </c>
      <c r="AL235" s="58" t="str">
        <f t="shared" si="25"/>
        <v>09:30 - 13:00</v>
      </c>
      <c r="AM235" s="151"/>
      <c r="AN235" s="95">
        <f t="shared" si="30"/>
        <v>367743.99999999994</v>
      </c>
      <c r="AO235" s="94" t="b">
        <v>1</v>
      </c>
      <c r="AP235" s="34">
        <f t="shared" si="26"/>
        <v>1149.1999999999998</v>
      </c>
      <c r="AQ235" s="23">
        <f t="shared" si="27"/>
        <v>3</v>
      </c>
      <c r="AR235" s="35" t="s">
        <v>48</v>
      </c>
      <c r="AU235" s="46"/>
      <c r="AW235" s="63" t="str">
        <f t="shared" si="28"/>
        <v>09:30</v>
      </c>
      <c r="AX235" s="152"/>
      <c r="AY235" s="160">
        <v>1</v>
      </c>
      <c r="AZ235" s="10"/>
      <c r="BA235" s="104" t="str">
        <f t="shared" si="29"/>
        <v>ПЛЮЩИХА-31</v>
      </c>
      <c r="BB235" s="85">
        <f>AP235*2.8+10*60</f>
        <v>3817.7599999999993</v>
      </c>
      <c r="BD235" s="123"/>
      <c r="BE235" s="117">
        <v>-20.916666666666664</v>
      </c>
      <c r="BF235" s="89" t="s">
        <v>1315</v>
      </c>
      <c r="BG235" s="89">
        <v>-36.530000000000008</v>
      </c>
      <c r="BH235" s="89">
        <v>-44.11666666666666</v>
      </c>
      <c r="BI235" s="89" t="s">
        <v>1315</v>
      </c>
      <c r="BJ235" s="89" t="s">
        <v>1315</v>
      </c>
      <c r="BK235" s="89" t="s">
        <v>1315</v>
      </c>
      <c r="BL235" s="36" t="s">
        <v>309</v>
      </c>
    </row>
    <row r="236" spans="3:64" ht="15" customHeight="1" x14ac:dyDescent="0.3">
      <c r="C236" s="1">
        <v>579</v>
      </c>
      <c r="D236" s="6">
        <v>692</v>
      </c>
      <c r="E236" s="6">
        <v>7692</v>
      </c>
      <c r="F236" s="1" t="s">
        <v>1621</v>
      </c>
      <c r="G236" s="8" t="s">
        <v>50</v>
      </c>
      <c r="H236" s="9">
        <v>10.3</v>
      </c>
      <c r="I236" s="9">
        <v>4.8499999999999996</v>
      </c>
      <c r="J236" s="9" t="s">
        <v>1315</v>
      </c>
      <c r="K236" s="1" t="s">
        <v>1741</v>
      </c>
      <c r="L236" s="2" t="s">
        <v>44</v>
      </c>
      <c r="M236" s="2" t="s">
        <v>1992</v>
      </c>
      <c r="N236" s="1">
        <v>1</v>
      </c>
      <c r="O236" s="1">
        <v>2</v>
      </c>
      <c r="P236" s="1" t="s">
        <v>51</v>
      </c>
      <c r="Q236" s="1" t="s">
        <v>1206</v>
      </c>
      <c r="R236" t="s">
        <v>2286</v>
      </c>
      <c r="S236" t="s">
        <v>2287</v>
      </c>
      <c r="T236">
        <v>89044580109</v>
      </c>
      <c r="U236" t="s">
        <v>2181</v>
      </c>
      <c r="V236" t="s">
        <v>2288</v>
      </c>
      <c r="W236">
        <v>9949330269</v>
      </c>
      <c r="X236" t="s">
        <v>2183</v>
      </c>
      <c r="Y236" t="s">
        <v>2289</v>
      </c>
      <c r="Z236" t="s">
        <v>2184</v>
      </c>
      <c r="AA236">
        <v>8</v>
      </c>
      <c r="AB236" s="6" t="s">
        <v>1268</v>
      </c>
      <c r="AC236" s="2" t="s">
        <v>651</v>
      </c>
      <c r="AD236" s="48" t="s">
        <v>1167</v>
      </c>
      <c r="AE236" s="48" t="s">
        <v>1168</v>
      </c>
      <c r="AF236" s="14" t="s">
        <v>732</v>
      </c>
      <c r="AG236" s="5" t="s">
        <v>28</v>
      </c>
      <c r="AH236" s="5">
        <v>100</v>
      </c>
      <c r="AI236" s="6">
        <v>2</v>
      </c>
      <c r="AJ236" s="13" t="s">
        <v>1329</v>
      </c>
      <c r="AK236" s="58">
        <v>0.5</v>
      </c>
      <c r="AL236" s="58" t="str">
        <f t="shared" si="25"/>
        <v>09:30 - 12:00</v>
      </c>
      <c r="AM236" s="151"/>
      <c r="AN236" s="95">
        <f t="shared" si="30"/>
        <v>300000</v>
      </c>
      <c r="AO236" s="94" t="b">
        <v>1</v>
      </c>
      <c r="AP236" s="34">
        <f t="shared" si="26"/>
        <v>303</v>
      </c>
      <c r="AQ236" s="23">
        <f t="shared" si="27"/>
        <v>1</v>
      </c>
      <c r="AR236" s="35" t="s">
        <v>48</v>
      </c>
      <c r="AW236" s="63" t="str">
        <f t="shared" si="28"/>
        <v>10:43:44</v>
      </c>
      <c r="AX236" s="152"/>
      <c r="AY236" s="160">
        <v>1</v>
      </c>
      <c r="AZ236" s="10"/>
      <c r="BA236" s="104" t="str">
        <f t="shared" si="29"/>
        <v>ПЛОТНИКОВ-ПЕР-20К21</v>
      </c>
      <c r="BB236" s="86">
        <f>AP236*3.8+10*60</f>
        <v>1751.3999999999999</v>
      </c>
      <c r="BD236" s="123"/>
      <c r="BE236" s="117" t="s">
        <v>1315</v>
      </c>
      <c r="BF236" s="89" t="s">
        <v>1315</v>
      </c>
      <c r="BG236" s="89" t="s">
        <v>1315</v>
      </c>
      <c r="BH236" s="89" t="s">
        <v>1315</v>
      </c>
      <c r="BI236" s="89">
        <v>-45.819999999999993</v>
      </c>
      <c r="BJ236" s="89" t="s">
        <v>1315</v>
      </c>
      <c r="BK236" s="89" t="s">
        <v>1315</v>
      </c>
      <c r="BL236" s="1" t="s">
        <v>650</v>
      </c>
    </row>
    <row r="237" spans="3:64" ht="15" customHeight="1" x14ac:dyDescent="0.3">
      <c r="C237" s="1">
        <v>584</v>
      </c>
      <c r="D237" s="6">
        <v>47</v>
      </c>
      <c r="E237" s="6">
        <v>7047</v>
      </c>
      <c r="F237" s="1" t="s">
        <v>1624</v>
      </c>
      <c r="G237" s="8" t="s">
        <v>50</v>
      </c>
      <c r="H237" s="9">
        <v>41.47</v>
      </c>
      <c r="I237" s="9">
        <v>21.27</v>
      </c>
      <c r="J237" s="9" t="s">
        <v>1315</v>
      </c>
      <c r="K237" s="1" t="s">
        <v>1741</v>
      </c>
      <c r="L237" s="2" t="s">
        <v>44</v>
      </c>
      <c r="M237" s="2" t="s">
        <v>2016</v>
      </c>
      <c r="N237" s="1">
        <v>1</v>
      </c>
      <c r="O237" s="1">
        <v>3</v>
      </c>
      <c r="P237" s="1" t="s">
        <v>51</v>
      </c>
      <c r="Q237" s="10" t="s">
        <v>660</v>
      </c>
      <c r="R237" t="s">
        <v>2286</v>
      </c>
      <c r="S237" t="s">
        <v>2287</v>
      </c>
      <c r="T237">
        <v>89044580109</v>
      </c>
      <c r="U237" t="s">
        <v>2181</v>
      </c>
      <c r="V237" t="s">
        <v>2288</v>
      </c>
      <c r="W237">
        <v>9949330269</v>
      </c>
      <c r="X237" t="s">
        <v>2183</v>
      </c>
      <c r="Y237" t="s">
        <v>2289</v>
      </c>
      <c r="Z237" t="s">
        <v>2184</v>
      </c>
      <c r="AA237">
        <v>8</v>
      </c>
      <c r="AB237" s="6" t="s">
        <v>1278</v>
      </c>
      <c r="AC237" s="2" t="s">
        <v>661</v>
      </c>
      <c r="AF237" s="14" t="s">
        <v>732</v>
      </c>
      <c r="AG237" s="5" t="s">
        <v>28</v>
      </c>
      <c r="AH237" s="5">
        <v>100</v>
      </c>
      <c r="AI237" s="6">
        <v>2</v>
      </c>
      <c r="AJ237" s="13" t="s">
        <v>1329</v>
      </c>
      <c r="AK237" s="58">
        <v>0.5</v>
      </c>
      <c r="AL237" s="58" t="str">
        <f t="shared" si="25"/>
        <v>09:30 - 12:00</v>
      </c>
      <c r="AM237" s="151"/>
      <c r="AN237" s="95">
        <f t="shared" si="30"/>
        <v>401536</v>
      </c>
      <c r="AO237" s="94" t="b">
        <v>1</v>
      </c>
      <c r="AP237" s="34">
        <f t="shared" si="26"/>
        <v>1254.8</v>
      </c>
      <c r="AQ237" s="23">
        <f t="shared" si="27"/>
        <v>3</v>
      </c>
      <c r="AR237" s="35" t="s">
        <v>48</v>
      </c>
      <c r="AW237" s="63" t="str">
        <f t="shared" si="28"/>
        <v>11:28:50</v>
      </c>
      <c r="AX237" s="152"/>
      <c r="AY237" s="160">
        <v>1</v>
      </c>
      <c r="AZ237" s="10"/>
      <c r="BA237" s="104" t="str">
        <f t="shared" si="29"/>
        <v>ЦВЕТНОЙ-Б-Р-25С1</v>
      </c>
      <c r="BB237" s="86">
        <f>AP237*3.5+10*60</f>
        <v>4991.8</v>
      </c>
      <c r="BD237" s="123"/>
      <c r="BE237" s="117">
        <v>-75.91166666666669</v>
      </c>
      <c r="BF237" s="89" t="s">
        <v>1315</v>
      </c>
      <c r="BG237" s="89" t="s">
        <v>1315</v>
      </c>
      <c r="BH237" s="89" t="s">
        <v>1315</v>
      </c>
      <c r="BI237" s="89" t="s">
        <v>1315</v>
      </c>
      <c r="BJ237" s="89" t="s">
        <v>1315</v>
      </c>
      <c r="BK237" s="89" t="s">
        <v>1315</v>
      </c>
      <c r="BL237" s="1" t="s">
        <v>659</v>
      </c>
    </row>
    <row r="238" spans="3:64" ht="15" customHeight="1" x14ac:dyDescent="0.3">
      <c r="C238" s="1">
        <v>138</v>
      </c>
      <c r="D238" s="6">
        <v>840</v>
      </c>
      <c r="E238" s="6">
        <v>4840</v>
      </c>
      <c r="F238" s="10" t="s">
        <v>1410</v>
      </c>
      <c r="G238" s="8" t="s">
        <v>50</v>
      </c>
      <c r="H238" s="9">
        <v>10.210000000000001</v>
      </c>
      <c r="I238" s="9">
        <v>2.9</v>
      </c>
      <c r="J238" s="9" t="s">
        <v>1315</v>
      </c>
      <c r="K238" s="1" t="s">
        <v>1741</v>
      </c>
      <c r="M238" s="2" t="s">
        <v>1935</v>
      </c>
      <c r="N238" s="1">
        <v>1</v>
      </c>
      <c r="O238" s="1">
        <v>4</v>
      </c>
      <c r="P238" s="1" t="s">
        <v>51</v>
      </c>
      <c r="Q238" s="10" t="s">
        <v>1247</v>
      </c>
      <c r="R238" t="s">
        <v>2286</v>
      </c>
      <c r="S238" t="s">
        <v>2287</v>
      </c>
      <c r="T238">
        <v>89044580109</v>
      </c>
      <c r="U238" t="s">
        <v>2181</v>
      </c>
      <c r="V238" t="s">
        <v>2288</v>
      </c>
      <c r="W238">
        <v>9949330269</v>
      </c>
      <c r="X238" t="s">
        <v>2183</v>
      </c>
      <c r="Y238" t="s">
        <v>2289</v>
      </c>
      <c r="Z238" t="s">
        <v>2184</v>
      </c>
      <c r="AA238">
        <v>8</v>
      </c>
      <c r="AB238" s="6" t="s">
        <v>809</v>
      </c>
      <c r="AC238" s="2" t="s">
        <v>324</v>
      </c>
      <c r="AF238" s="14" t="s">
        <v>732</v>
      </c>
      <c r="AG238" s="5" t="s">
        <v>28</v>
      </c>
      <c r="AH238" s="5">
        <v>100</v>
      </c>
      <c r="AI238" s="6">
        <v>2</v>
      </c>
      <c r="AJ238" s="13" t="s">
        <v>1329</v>
      </c>
      <c r="AK238" s="142" t="str">
        <f>IF(AP238&gt;2000,"15:00",IF(AP238&lt;1000,"16:30","16:00"))</f>
        <v>16:30</v>
      </c>
      <c r="AL238" s="58" t="str">
        <f t="shared" si="25"/>
        <v>09:30 - 16:30</v>
      </c>
      <c r="AM238" s="151"/>
      <c r="AN238" s="95">
        <f t="shared" si="30"/>
        <v>300000</v>
      </c>
      <c r="AO238" s="94" t="b">
        <v>1</v>
      </c>
      <c r="AP238" s="34">
        <f t="shared" si="26"/>
        <v>262.20000000000005</v>
      </c>
      <c r="AQ238" s="23">
        <f t="shared" si="27"/>
        <v>1</v>
      </c>
      <c r="AR238" s="35" t="s">
        <v>48</v>
      </c>
      <c r="AU238" s="46"/>
      <c r="AW238" s="63" t="str">
        <f t="shared" si="28"/>
        <v>13:03:11</v>
      </c>
      <c r="AX238" s="152"/>
      <c r="AY238" s="160">
        <v>2</v>
      </c>
      <c r="AZ238" s="10"/>
      <c r="BA238" s="104" t="str">
        <f t="shared" si="29"/>
        <v>СЕЛЕЗНЕВСКАЯ-4</v>
      </c>
      <c r="BB238" s="70">
        <f>AP238*4.1+10*60</f>
        <v>1675.02</v>
      </c>
      <c r="BD238" s="123"/>
      <c r="BE238" s="117" t="s">
        <v>1315</v>
      </c>
      <c r="BF238" s="89" t="s">
        <v>1315</v>
      </c>
      <c r="BG238" s="89" t="s">
        <v>1315</v>
      </c>
      <c r="BH238" s="89" t="s">
        <v>1315</v>
      </c>
      <c r="BI238" s="89" t="s">
        <v>1315</v>
      </c>
      <c r="BJ238" s="89" t="s">
        <v>1315</v>
      </c>
      <c r="BK238" s="89" t="s">
        <v>1315</v>
      </c>
      <c r="BL238" s="10" t="s">
        <v>323</v>
      </c>
    </row>
    <row r="239" spans="3:64" ht="15" customHeight="1" x14ac:dyDescent="0.3">
      <c r="C239" s="1">
        <v>97</v>
      </c>
      <c r="D239" s="6">
        <v>610</v>
      </c>
      <c r="E239" s="6">
        <v>7610</v>
      </c>
      <c r="F239" s="1" t="s">
        <v>1407</v>
      </c>
      <c r="G239" s="8" t="s">
        <v>50</v>
      </c>
      <c r="H239" s="9">
        <v>31.799999999999997</v>
      </c>
      <c r="I239" s="9">
        <v>9.44</v>
      </c>
      <c r="J239" s="9" t="s">
        <v>1806</v>
      </c>
      <c r="K239" s="1" t="s">
        <v>1760</v>
      </c>
      <c r="M239" s="2" t="s">
        <v>1328</v>
      </c>
      <c r="N239" s="1">
        <v>1</v>
      </c>
      <c r="O239" s="1">
        <v>1</v>
      </c>
      <c r="P239" s="1" t="s">
        <v>51</v>
      </c>
      <c r="Q239" s="10" t="s">
        <v>79</v>
      </c>
      <c r="R239" t="s">
        <v>2290</v>
      </c>
      <c r="S239" t="s">
        <v>2291</v>
      </c>
      <c r="T239">
        <v>89917051620</v>
      </c>
      <c r="U239" t="s">
        <v>2181</v>
      </c>
      <c r="V239" t="s">
        <v>2292</v>
      </c>
      <c r="W239">
        <v>9955448026</v>
      </c>
      <c r="X239" t="s">
        <v>2183</v>
      </c>
      <c r="Y239" t="s">
        <v>2118</v>
      </c>
      <c r="Z239" t="s">
        <v>2184</v>
      </c>
      <c r="AA239">
        <v>8</v>
      </c>
      <c r="AB239" s="6" t="s">
        <v>786</v>
      </c>
      <c r="AC239" s="2" t="s">
        <v>80</v>
      </c>
      <c r="AF239" s="171" t="s">
        <v>732</v>
      </c>
      <c r="AH239" s="25"/>
      <c r="AI239" s="6">
        <v>2</v>
      </c>
      <c r="AJ239" s="13" t="s">
        <v>1328</v>
      </c>
      <c r="AK239" s="58">
        <v>0.54166666666666696</v>
      </c>
      <c r="AL239" s="58" t="str">
        <f t="shared" si="25"/>
        <v>09:00 - 13:00</v>
      </c>
      <c r="AM239" s="151">
        <v>5</v>
      </c>
      <c r="AN239" s="95">
        <f t="shared" si="30"/>
        <v>300000</v>
      </c>
      <c r="AO239" s="94" t="b">
        <v>1</v>
      </c>
      <c r="AP239" s="34">
        <f t="shared" si="26"/>
        <v>824.8</v>
      </c>
      <c r="AQ239" s="23">
        <f t="shared" si="27"/>
        <v>2</v>
      </c>
      <c r="AR239" s="35" t="s">
        <v>48</v>
      </c>
      <c r="AU239" s="46"/>
      <c r="AW239" s="63" t="str">
        <f t="shared" si="28"/>
        <v>09:00</v>
      </c>
      <c r="AX239" s="152"/>
      <c r="AY239" s="160">
        <v>1</v>
      </c>
      <c r="AZ239" s="10"/>
      <c r="BA239" s="104" t="str">
        <f t="shared" si="29"/>
        <v>ЛЕНИНСКИЙ-ПР-Т-40</v>
      </c>
      <c r="BB239" s="85">
        <f>AP239*2.8+10*60</f>
        <v>2909.4399999999996</v>
      </c>
      <c r="BD239" s="123"/>
      <c r="BE239" s="117" t="s">
        <v>1315</v>
      </c>
      <c r="BF239" s="89">
        <v>-10.192666666666661</v>
      </c>
      <c r="BG239" s="89" t="s">
        <v>1315</v>
      </c>
      <c r="BH239" s="89" t="s">
        <v>1315</v>
      </c>
      <c r="BI239" s="89" t="s">
        <v>1315</v>
      </c>
      <c r="BJ239" s="89" t="s">
        <v>1315</v>
      </c>
      <c r="BK239" s="89" t="s">
        <v>1315</v>
      </c>
      <c r="BL239" s="1" t="s">
        <v>78</v>
      </c>
    </row>
    <row r="240" spans="3:64" ht="15" customHeight="1" x14ac:dyDescent="0.3">
      <c r="C240" s="1">
        <v>525</v>
      </c>
      <c r="D240" s="6">
        <v>7059</v>
      </c>
      <c r="E240" s="6">
        <v>4059</v>
      </c>
      <c r="F240" s="36" t="s">
        <v>1426</v>
      </c>
      <c r="G240" s="8" t="s">
        <v>50</v>
      </c>
      <c r="H240" s="9">
        <v>41.629999999999995</v>
      </c>
      <c r="I240" s="9">
        <v>7.99</v>
      </c>
      <c r="J240" s="9" t="s">
        <v>1315</v>
      </c>
      <c r="K240" s="1" t="s">
        <v>1760</v>
      </c>
      <c r="M240" s="2" t="s">
        <v>2047</v>
      </c>
      <c r="N240" s="1">
        <v>1</v>
      </c>
      <c r="O240" s="1">
        <v>2</v>
      </c>
      <c r="P240" s="1" t="s">
        <v>51</v>
      </c>
      <c r="Q240" s="10" t="s">
        <v>956</v>
      </c>
      <c r="R240" t="s">
        <v>2290</v>
      </c>
      <c r="S240" t="s">
        <v>2291</v>
      </c>
      <c r="T240">
        <v>89917051620</v>
      </c>
      <c r="U240" t="s">
        <v>2181</v>
      </c>
      <c r="V240" t="s">
        <v>2292</v>
      </c>
      <c r="W240">
        <v>9955448026</v>
      </c>
      <c r="X240" t="s">
        <v>2183</v>
      </c>
      <c r="Y240" t="s">
        <v>2118</v>
      </c>
      <c r="Z240" t="s">
        <v>2184</v>
      </c>
      <c r="AA240">
        <v>8</v>
      </c>
      <c r="AB240" s="6" t="s">
        <v>1122</v>
      </c>
      <c r="AC240" s="2" t="s">
        <v>957</v>
      </c>
      <c r="AF240" s="14" t="s">
        <v>732</v>
      </c>
      <c r="AG240" s="5" t="s">
        <v>28</v>
      </c>
      <c r="AH240" s="25">
        <v>100</v>
      </c>
      <c r="AI240" s="6">
        <v>2</v>
      </c>
      <c r="AJ240" s="13" t="s">
        <v>1328</v>
      </c>
      <c r="AK240" s="142" t="str">
        <f>IF(AP240&gt;2000,"15:00",IF(AP240&lt;1000,"16:30","16:00"))</f>
        <v>16:30</v>
      </c>
      <c r="AL240" s="58" t="str">
        <f t="shared" si="25"/>
        <v>09:00 - 16:30</v>
      </c>
      <c r="AM240" s="151"/>
      <c r="AN240" s="95">
        <f t="shared" si="30"/>
        <v>300000</v>
      </c>
      <c r="AO240" s="94" t="b">
        <v>1</v>
      </c>
      <c r="AP240" s="34">
        <f t="shared" si="26"/>
        <v>992.39999999999986</v>
      </c>
      <c r="AQ240" s="23">
        <f t="shared" si="27"/>
        <v>2</v>
      </c>
      <c r="AR240" s="35" t="s">
        <v>48</v>
      </c>
      <c r="AW240" s="63" t="str">
        <f t="shared" si="28"/>
        <v>10:18:53</v>
      </c>
      <c r="AX240" s="152"/>
      <c r="AY240" s="160">
        <v>2</v>
      </c>
      <c r="AZ240" s="10"/>
      <c r="BA240" s="104" t="str">
        <f t="shared" si="29"/>
        <v>РАБОЧАЯ-38</v>
      </c>
      <c r="BB240" s="70">
        <f>AP240*4.1+10*60</f>
        <v>4668.8399999999992</v>
      </c>
      <c r="BD240" s="123"/>
      <c r="BE240" s="117" t="s">
        <v>1315</v>
      </c>
      <c r="BF240" s="89" t="s">
        <v>1315</v>
      </c>
      <c r="BG240" s="89" t="s">
        <v>1315</v>
      </c>
      <c r="BH240" s="89" t="s">
        <v>1315</v>
      </c>
      <c r="BI240" s="89" t="s">
        <v>1315</v>
      </c>
      <c r="BJ240" s="89" t="s">
        <v>1315</v>
      </c>
      <c r="BK240" s="89" t="s">
        <v>1315</v>
      </c>
      <c r="BL240" s="36" t="s">
        <v>955</v>
      </c>
    </row>
    <row r="241" spans="1:65" ht="15" customHeight="1" x14ac:dyDescent="0.3">
      <c r="C241" s="1">
        <v>363</v>
      </c>
      <c r="D241" s="6">
        <v>651</v>
      </c>
      <c r="E241" s="6">
        <v>7651</v>
      </c>
      <c r="F241" s="1" t="s">
        <v>1461</v>
      </c>
      <c r="G241" s="8" t="s">
        <v>50</v>
      </c>
      <c r="H241" s="9">
        <v>17.89</v>
      </c>
      <c r="I241" s="9">
        <v>4.6900000000000004</v>
      </c>
      <c r="J241" s="9" t="s">
        <v>1315</v>
      </c>
      <c r="K241" s="1" t="s">
        <v>1760</v>
      </c>
      <c r="M241" s="2" t="s">
        <v>2011</v>
      </c>
      <c r="N241" s="1">
        <v>1</v>
      </c>
      <c r="O241" s="1">
        <v>3</v>
      </c>
      <c r="P241" s="1" t="s">
        <v>51</v>
      </c>
      <c r="Q241" s="10" t="s">
        <v>483</v>
      </c>
      <c r="R241" t="s">
        <v>2290</v>
      </c>
      <c r="S241" t="s">
        <v>2291</v>
      </c>
      <c r="T241">
        <v>89917051620</v>
      </c>
      <c r="U241" t="s">
        <v>2181</v>
      </c>
      <c r="V241" t="s">
        <v>2292</v>
      </c>
      <c r="W241">
        <v>9955448026</v>
      </c>
      <c r="X241" t="s">
        <v>2183</v>
      </c>
      <c r="Y241" t="s">
        <v>2118</v>
      </c>
      <c r="Z241" t="s">
        <v>2184</v>
      </c>
      <c r="AA241">
        <v>8</v>
      </c>
      <c r="AB241" s="6" t="s">
        <v>909</v>
      </c>
      <c r="AC241" s="2" t="s">
        <v>484</v>
      </c>
      <c r="AF241" s="14" t="s">
        <v>732</v>
      </c>
      <c r="AH241" s="25"/>
      <c r="AI241" s="6">
        <v>2</v>
      </c>
      <c r="AJ241" s="13" t="s">
        <v>1328</v>
      </c>
      <c r="AK241" s="58">
        <v>0.54166666666666696</v>
      </c>
      <c r="AL241" s="58" t="str">
        <f t="shared" si="25"/>
        <v>09:00 - 13:00</v>
      </c>
      <c r="AM241" s="151"/>
      <c r="AN241" s="95">
        <f t="shared" si="30"/>
        <v>300000</v>
      </c>
      <c r="AO241" s="94" t="b">
        <v>1</v>
      </c>
      <c r="AP241" s="34">
        <f t="shared" si="26"/>
        <v>451.6</v>
      </c>
      <c r="AQ241" s="23">
        <f t="shared" si="27"/>
        <v>1</v>
      </c>
      <c r="AR241" s="35" t="s">
        <v>48</v>
      </c>
      <c r="AW241" s="63" t="str">
        <f t="shared" si="28"/>
        <v>11:49:18</v>
      </c>
      <c r="AX241" s="152"/>
      <c r="AY241" s="160">
        <v>1</v>
      </c>
      <c r="AZ241" s="10"/>
      <c r="BA241" s="104" t="str">
        <f t="shared" si="29"/>
        <v>ЛЕФОРТОВСКИЙ-ВАЛ-11</v>
      </c>
      <c r="BB241" s="87">
        <f>AP241*3.5+10*60</f>
        <v>2180.6000000000004</v>
      </c>
      <c r="BD241" s="123"/>
      <c r="BE241" s="117" t="s">
        <v>1315</v>
      </c>
      <c r="BF241" s="89" t="s">
        <v>1315</v>
      </c>
      <c r="BG241" s="89" t="s">
        <v>1315</v>
      </c>
      <c r="BH241" s="89" t="s">
        <v>1315</v>
      </c>
      <c r="BI241" s="89" t="s">
        <v>1315</v>
      </c>
      <c r="BJ241" s="89" t="s">
        <v>1315</v>
      </c>
      <c r="BK241" s="89" t="s">
        <v>1315</v>
      </c>
      <c r="BL241" s="1" t="s">
        <v>482</v>
      </c>
    </row>
    <row r="242" spans="1:65" ht="15" customHeight="1" x14ac:dyDescent="0.3">
      <c r="C242" s="1">
        <v>528</v>
      </c>
      <c r="D242" s="6">
        <v>899</v>
      </c>
      <c r="E242" s="6">
        <v>4899</v>
      </c>
      <c r="F242" s="11" t="s">
        <v>1427</v>
      </c>
      <c r="G242" s="8" t="s">
        <v>50</v>
      </c>
      <c r="H242" s="9">
        <v>26.580000000000002</v>
      </c>
      <c r="I242" s="9">
        <v>9.33</v>
      </c>
      <c r="J242" s="9" t="s">
        <v>1315</v>
      </c>
      <c r="K242" s="1" t="s">
        <v>1760</v>
      </c>
      <c r="M242" s="2" t="s">
        <v>1986</v>
      </c>
      <c r="N242" s="1">
        <v>1</v>
      </c>
      <c r="O242" s="1">
        <v>4</v>
      </c>
      <c r="P242" s="1" t="s">
        <v>51</v>
      </c>
      <c r="Q242" s="10" t="s">
        <v>163</v>
      </c>
      <c r="R242" t="s">
        <v>2290</v>
      </c>
      <c r="S242" t="s">
        <v>2291</v>
      </c>
      <c r="T242">
        <v>89917051620</v>
      </c>
      <c r="U242" t="s">
        <v>2181</v>
      </c>
      <c r="V242" t="s">
        <v>2292</v>
      </c>
      <c r="W242">
        <v>9955448026</v>
      </c>
      <c r="X242" t="s">
        <v>2183</v>
      </c>
      <c r="Y242" t="s">
        <v>2118</v>
      </c>
      <c r="Z242" t="s">
        <v>2184</v>
      </c>
      <c r="AA242">
        <v>8</v>
      </c>
      <c r="AB242" s="6" t="s">
        <v>1130</v>
      </c>
      <c r="AC242" s="2" t="s">
        <v>164</v>
      </c>
      <c r="AF242" s="14" t="s">
        <v>732</v>
      </c>
      <c r="AI242" s="6">
        <v>2</v>
      </c>
      <c r="AJ242" s="114" t="str">
        <f ca="1">IF((WEEKDAY(TODAY(),2))=6,"10:00","09:30")</f>
        <v>09:30</v>
      </c>
      <c r="AK242" s="58">
        <v>0.54166666666666696</v>
      </c>
      <c r="AL242" s="58" t="str">
        <f t="shared" ca="1" si="25"/>
        <v>09:30 - 13:00</v>
      </c>
      <c r="AM242" s="151">
        <v>3</v>
      </c>
      <c r="AN242" s="95">
        <f t="shared" si="30"/>
        <v>300000</v>
      </c>
      <c r="AO242" s="94" t="b">
        <v>1</v>
      </c>
      <c r="AP242" s="34">
        <f t="shared" si="26"/>
        <v>718.2</v>
      </c>
      <c r="AQ242" s="23">
        <f t="shared" si="27"/>
        <v>2</v>
      </c>
      <c r="AR242" s="35" t="s">
        <v>48</v>
      </c>
      <c r="AW242" s="63" t="str">
        <f t="shared" ca="1" si="28"/>
        <v>12:31:41</v>
      </c>
      <c r="AX242" s="152"/>
      <c r="AY242" s="160">
        <v>1</v>
      </c>
      <c r="AZ242" s="10"/>
      <c r="BA242" s="104" t="str">
        <f t="shared" si="29"/>
        <v>КРАСНОКАЗАРМЕННАЯ-23</v>
      </c>
      <c r="BB242" s="85">
        <f>AP242*3+10*60</f>
        <v>2754.6000000000004</v>
      </c>
      <c r="BD242" s="123"/>
      <c r="BE242" s="117" t="s">
        <v>1315</v>
      </c>
      <c r="BF242" s="89" t="s">
        <v>1315</v>
      </c>
      <c r="BG242" s="89">
        <v>-45.623333333333335</v>
      </c>
      <c r="BH242" s="89">
        <v>11.509999999999998</v>
      </c>
      <c r="BI242" s="89" t="s">
        <v>1315</v>
      </c>
      <c r="BJ242" s="89">
        <v>-33.986666666666672</v>
      </c>
      <c r="BK242" s="89" t="s">
        <v>1315</v>
      </c>
      <c r="BL242" s="11" t="s">
        <v>162</v>
      </c>
    </row>
    <row r="243" spans="1:65" ht="15" customHeight="1" x14ac:dyDescent="0.3">
      <c r="C243" s="1">
        <v>269</v>
      </c>
      <c r="D243" s="6">
        <v>507115</v>
      </c>
      <c r="E243" s="6">
        <v>4115</v>
      </c>
      <c r="F243" s="19" t="s">
        <v>1653</v>
      </c>
      <c r="G243" s="8" t="s">
        <v>43</v>
      </c>
      <c r="H243" s="9">
        <v>29.64</v>
      </c>
      <c r="I243" s="9">
        <v>21.5</v>
      </c>
      <c r="J243" s="9" t="s">
        <v>1837</v>
      </c>
      <c r="K243" s="1" t="s">
        <v>1775</v>
      </c>
      <c r="M243" s="2" t="s">
        <v>1329</v>
      </c>
      <c r="N243" s="1">
        <v>1</v>
      </c>
      <c r="O243" s="1">
        <v>1</v>
      </c>
      <c r="P243" s="1" t="s">
        <v>127</v>
      </c>
      <c r="Q243" s="10" t="s">
        <v>1044</v>
      </c>
      <c r="R243" t="s">
        <v>2293</v>
      </c>
      <c r="S243">
        <v>5025665556</v>
      </c>
      <c r="T243">
        <v>89261662470</v>
      </c>
      <c r="U243" t="s">
        <v>2181</v>
      </c>
      <c r="V243" t="s">
        <v>2294</v>
      </c>
      <c r="W243">
        <v>9949331361</v>
      </c>
      <c r="X243" t="s">
        <v>2183</v>
      </c>
      <c r="Y243" t="s">
        <v>2118</v>
      </c>
      <c r="Z243" t="s">
        <v>2184</v>
      </c>
      <c r="AA243">
        <v>8</v>
      </c>
      <c r="AB243" s="6" t="s">
        <v>867</v>
      </c>
      <c r="AC243" s="2" t="s">
        <v>1043</v>
      </c>
      <c r="AF243" s="153" t="s">
        <v>1672</v>
      </c>
      <c r="AI243" s="6">
        <v>2</v>
      </c>
      <c r="AJ243" s="114" t="str">
        <f ca="1">IF((WEEKDAY(TODAY(),2))=6,"10:00","09:30")</f>
        <v>09:30</v>
      </c>
      <c r="AK243" s="58">
        <v>0.54166666666666696</v>
      </c>
      <c r="AL243" s="58" t="str">
        <f t="shared" ca="1" si="25"/>
        <v>09:30 - 13:00</v>
      </c>
      <c r="AM243" s="151">
        <v>6</v>
      </c>
      <c r="AN243" s="95">
        <f t="shared" si="30"/>
        <v>327296</v>
      </c>
      <c r="AO243" s="94" t="b">
        <v>1</v>
      </c>
      <c r="AP243" s="34">
        <f t="shared" si="26"/>
        <v>1022.8</v>
      </c>
      <c r="AQ243" s="23">
        <f t="shared" si="27"/>
        <v>2</v>
      </c>
      <c r="AR243" s="35" t="s">
        <v>48</v>
      </c>
      <c r="AW243" s="63" t="str">
        <f t="shared" ca="1" si="28"/>
        <v>09:30</v>
      </c>
      <c r="AX243" s="152"/>
      <c r="AY243" s="160">
        <v>1</v>
      </c>
      <c r="AZ243" s="10"/>
      <c r="BA243" s="104" t="str">
        <f t="shared" si="29"/>
        <v>ИЛЬИНСКОЕ-УС-ЗАПОВЕДНАЯ-10</v>
      </c>
      <c r="BB243" s="87">
        <f>AP243*3.5+10*60</f>
        <v>4179.7999999999993</v>
      </c>
      <c r="BD243" s="123"/>
      <c r="BE243" s="117" t="s">
        <v>1315</v>
      </c>
      <c r="BF243" s="89" t="s">
        <v>1315</v>
      </c>
      <c r="BG243" s="89" t="s">
        <v>1315</v>
      </c>
      <c r="BH243" s="89">
        <v>-4.0849999999999937</v>
      </c>
      <c r="BI243" s="89" t="s">
        <v>1315</v>
      </c>
      <c r="BJ243" s="89" t="s">
        <v>1315</v>
      </c>
      <c r="BK243" s="89" t="s">
        <v>1315</v>
      </c>
      <c r="BL243" s="19" t="s">
        <v>1042</v>
      </c>
    </row>
    <row r="244" spans="1:65" ht="15" customHeight="1" x14ac:dyDescent="0.3">
      <c r="C244" s="1">
        <v>258</v>
      </c>
      <c r="D244" s="6">
        <v>50976</v>
      </c>
      <c r="E244" s="6">
        <v>4976</v>
      </c>
      <c r="F244" s="17" t="s">
        <v>1515</v>
      </c>
      <c r="G244" s="8" t="s">
        <v>43</v>
      </c>
      <c r="H244" s="9">
        <v>73.330000000000013</v>
      </c>
      <c r="I244" s="9">
        <v>23.84</v>
      </c>
      <c r="J244" s="9" t="s">
        <v>1315</v>
      </c>
      <c r="K244" s="1" t="s">
        <v>1775</v>
      </c>
      <c r="M244" s="2" t="s">
        <v>2060</v>
      </c>
      <c r="N244" s="1">
        <v>1</v>
      </c>
      <c r="O244" s="1">
        <v>2</v>
      </c>
      <c r="P244" s="1" t="s">
        <v>401</v>
      </c>
      <c r="Q244" s="10" t="s">
        <v>403</v>
      </c>
      <c r="R244" t="s">
        <v>2293</v>
      </c>
      <c r="S244">
        <v>5025665556</v>
      </c>
      <c r="T244">
        <v>89261662470</v>
      </c>
      <c r="U244" t="s">
        <v>2181</v>
      </c>
      <c r="V244" t="s">
        <v>2294</v>
      </c>
      <c r="W244">
        <v>9949331361</v>
      </c>
      <c r="X244" t="s">
        <v>2183</v>
      </c>
      <c r="Y244" t="s">
        <v>2118</v>
      </c>
      <c r="Z244" t="s">
        <v>2184</v>
      </c>
      <c r="AA244">
        <v>8</v>
      </c>
      <c r="AB244" s="6" t="s">
        <v>863</v>
      </c>
      <c r="AC244" s="2" t="s">
        <v>404</v>
      </c>
      <c r="AF244" s="156" t="s">
        <v>1681</v>
      </c>
      <c r="AI244" s="6">
        <v>2</v>
      </c>
      <c r="AJ244" s="114" t="str">
        <f ca="1">IF((WEEKDAY(TODAY(),2))=6,"10:00","09:00")</f>
        <v>09:00</v>
      </c>
      <c r="AK244" s="58">
        <v>0.54166666666666696</v>
      </c>
      <c r="AL244" s="58" t="str">
        <f t="shared" ca="1" si="25"/>
        <v>09:00 - 13:00</v>
      </c>
      <c r="AM244" s="151">
        <v>1</v>
      </c>
      <c r="AN244" s="95">
        <f t="shared" si="30"/>
        <v>621888.00000000012</v>
      </c>
      <c r="AO244" s="94" t="b">
        <v>1</v>
      </c>
      <c r="AP244" s="34">
        <f t="shared" si="26"/>
        <v>1943.4000000000003</v>
      </c>
      <c r="AQ244" s="23">
        <f t="shared" si="27"/>
        <v>4</v>
      </c>
      <c r="AR244" s="35" t="s">
        <v>48</v>
      </c>
      <c r="AW244" s="63" t="str">
        <f t="shared" ca="1" si="28"/>
        <v>11:34:29</v>
      </c>
      <c r="AX244" s="172"/>
      <c r="AY244" s="160">
        <v>1</v>
      </c>
      <c r="AZ244" s="10"/>
      <c r="BA244" s="104" t="str">
        <f t="shared" si="29"/>
        <v>ИСТРА-9-ГВАРДЕЙСКОЙ-ДИВИЗИИ-38</v>
      </c>
      <c r="BB244" s="87">
        <f>AP244*3.5+10*60</f>
        <v>7401.9000000000015</v>
      </c>
      <c r="BD244" s="123"/>
      <c r="BE244" s="117" t="s">
        <v>1315</v>
      </c>
      <c r="BF244" s="89" t="s">
        <v>1315</v>
      </c>
      <c r="BG244" s="89" t="s">
        <v>1315</v>
      </c>
      <c r="BH244" s="89" t="s">
        <v>1315</v>
      </c>
      <c r="BI244" s="89" t="s">
        <v>1315</v>
      </c>
      <c r="BJ244" s="89" t="s">
        <v>1315</v>
      </c>
      <c r="BK244" s="89">
        <v>-25.086666666666659</v>
      </c>
      <c r="BL244" s="17" t="s">
        <v>402</v>
      </c>
    </row>
    <row r="245" spans="1:65" ht="15" customHeight="1" x14ac:dyDescent="0.3">
      <c r="C245" s="1">
        <v>397</v>
      </c>
      <c r="D245" s="6">
        <v>7060</v>
      </c>
      <c r="E245" s="6">
        <v>4060</v>
      </c>
      <c r="F245" s="1" t="s">
        <v>1446</v>
      </c>
      <c r="G245" s="8" t="s">
        <v>50</v>
      </c>
      <c r="H245" s="9">
        <v>48.589999999999996</v>
      </c>
      <c r="I245" s="9">
        <v>13.31</v>
      </c>
      <c r="J245" s="9" t="s">
        <v>1830</v>
      </c>
      <c r="K245" s="1" t="s">
        <v>1762</v>
      </c>
      <c r="M245" s="2" t="s">
        <v>2034</v>
      </c>
      <c r="N245" s="1">
        <v>1</v>
      </c>
      <c r="O245" s="1">
        <v>1</v>
      </c>
      <c r="P245" s="1" t="s">
        <v>51</v>
      </c>
      <c r="Q245" s="1" t="s">
        <v>1202</v>
      </c>
      <c r="R245" t="s">
        <v>2295</v>
      </c>
      <c r="S245" t="s">
        <v>2296</v>
      </c>
      <c r="T245">
        <v>89328423546</v>
      </c>
      <c r="U245" t="s">
        <v>2181</v>
      </c>
      <c r="V245" t="s">
        <v>2297</v>
      </c>
      <c r="W245">
        <v>9966271570</v>
      </c>
      <c r="X245" t="s">
        <v>2183</v>
      </c>
      <c r="Y245" t="s">
        <v>2118</v>
      </c>
      <c r="Z245" t="s">
        <v>2184</v>
      </c>
      <c r="AA245">
        <v>8</v>
      </c>
      <c r="AB245" s="6" t="s">
        <v>923</v>
      </c>
      <c r="AC245" s="2" t="s">
        <v>962</v>
      </c>
      <c r="AF245" s="167" t="s">
        <v>1672</v>
      </c>
      <c r="AH245" s="25"/>
      <c r="AI245" s="6">
        <v>2</v>
      </c>
      <c r="AJ245" s="13" t="s">
        <v>1329</v>
      </c>
      <c r="AK245" s="58">
        <v>0.54166666666666696</v>
      </c>
      <c r="AL245" s="58" t="str">
        <f t="shared" si="25"/>
        <v>09:30 - 13:00</v>
      </c>
      <c r="AM245" s="151">
        <v>6</v>
      </c>
      <c r="AN245" s="95">
        <f t="shared" si="30"/>
        <v>396160</v>
      </c>
      <c r="AO245" s="94" t="b">
        <v>1</v>
      </c>
      <c r="AP245" s="34">
        <f t="shared" si="26"/>
        <v>1238</v>
      </c>
      <c r="AQ245" s="23">
        <f t="shared" si="27"/>
        <v>3</v>
      </c>
      <c r="AR245" s="35" t="s">
        <v>48</v>
      </c>
      <c r="AW245" s="63" t="str">
        <f t="shared" si="28"/>
        <v>09:33:46</v>
      </c>
      <c r="AX245" s="152"/>
      <c r="AY245" s="160">
        <v>1</v>
      </c>
      <c r="AZ245" s="10"/>
      <c r="BA245" s="104" t="str">
        <f t="shared" si="29"/>
        <v>ФИЛЕВСКИЙ-БР.,10</v>
      </c>
      <c r="BB245" s="85">
        <f>AP245*3.2+10*60</f>
        <v>4561.6000000000004</v>
      </c>
      <c r="BD245" s="123"/>
      <c r="BE245" s="117" t="s">
        <v>1315</v>
      </c>
      <c r="BF245" s="89" t="s">
        <v>1315</v>
      </c>
      <c r="BG245" s="89">
        <v>2.4413333333333185</v>
      </c>
      <c r="BH245" s="89">
        <v>-38.866666666666667</v>
      </c>
      <c r="BI245" s="89" t="s">
        <v>1315</v>
      </c>
      <c r="BJ245" s="89">
        <v>2.3093333333333419</v>
      </c>
      <c r="BK245" s="89" t="s">
        <v>1315</v>
      </c>
      <c r="BL245" s="1" t="s">
        <v>961</v>
      </c>
    </row>
    <row r="246" spans="1:65" ht="15" customHeight="1" x14ac:dyDescent="0.3">
      <c r="C246" s="1">
        <v>395</v>
      </c>
      <c r="D246" s="6">
        <v>7072</v>
      </c>
      <c r="E246" s="6">
        <v>4072</v>
      </c>
      <c r="F246" s="36" t="s">
        <v>1556</v>
      </c>
      <c r="G246" s="8" t="s">
        <v>50</v>
      </c>
      <c r="H246" s="9">
        <v>32.6</v>
      </c>
      <c r="I246" s="9">
        <v>12.35</v>
      </c>
      <c r="J246" s="9" t="s">
        <v>1315</v>
      </c>
      <c r="K246" s="1" t="s">
        <v>1762</v>
      </c>
      <c r="M246" s="2" t="s">
        <v>1982</v>
      </c>
      <c r="N246" s="1">
        <v>1</v>
      </c>
      <c r="O246" s="1">
        <v>2</v>
      </c>
      <c r="P246" s="1" t="s">
        <v>51</v>
      </c>
      <c r="Q246" s="10" t="s">
        <v>966</v>
      </c>
      <c r="R246" t="s">
        <v>2295</v>
      </c>
      <c r="S246" t="s">
        <v>2296</v>
      </c>
      <c r="T246">
        <v>89328423546</v>
      </c>
      <c r="U246" t="s">
        <v>2181</v>
      </c>
      <c r="V246" t="s">
        <v>2297</v>
      </c>
      <c r="W246">
        <v>9966271570</v>
      </c>
      <c r="X246" t="s">
        <v>2183</v>
      </c>
      <c r="Y246" t="s">
        <v>2118</v>
      </c>
      <c r="Z246" t="s">
        <v>2184</v>
      </c>
      <c r="AA246">
        <v>8</v>
      </c>
      <c r="AB246" s="6" t="s">
        <v>921</v>
      </c>
      <c r="AC246" s="2" t="s">
        <v>967</v>
      </c>
      <c r="AF246" s="153" t="s">
        <v>1672</v>
      </c>
      <c r="AH246" s="25"/>
      <c r="AI246" s="6">
        <v>2</v>
      </c>
      <c r="AJ246" s="13" t="s">
        <v>1329</v>
      </c>
      <c r="AK246" s="58">
        <v>0.54166666666666696</v>
      </c>
      <c r="AL246" s="58" t="str">
        <f t="shared" si="25"/>
        <v>09:30 - 13:00</v>
      </c>
      <c r="AM246" s="151">
        <v>6</v>
      </c>
      <c r="AN246" s="95">
        <f t="shared" si="30"/>
        <v>300000</v>
      </c>
      <c r="AO246" s="94" t="b">
        <v>1</v>
      </c>
      <c r="AP246" s="34">
        <f t="shared" si="26"/>
        <v>899</v>
      </c>
      <c r="AQ246" s="23">
        <f t="shared" si="27"/>
        <v>2</v>
      </c>
      <c r="AR246" s="35" t="s">
        <v>48</v>
      </c>
      <c r="AW246" s="63" t="str">
        <f t="shared" si="28"/>
        <v>10:59:27</v>
      </c>
      <c r="AX246" s="152"/>
      <c r="AY246" s="160">
        <v>1</v>
      </c>
      <c r="AZ246" s="10"/>
      <c r="BA246" s="104" t="str">
        <f t="shared" si="29"/>
        <v>ШЕЛЕПИХИНСКАЯ-НАБ-34К4</v>
      </c>
      <c r="BB246" s="85">
        <f>AP246*3+10*60</f>
        <v>3297</v>
      </c>
      <c r="BD246" s="123"/>
      <c r="BE246" s="117" t="s">
        <v>1315</v>
      </c>
      <c r="BF246" s="89" t="s">
        <v>1315</v>
      </c>
      <c r="BG246" s="89">
        <v>-46.675333333333342</v>
      </c>
      <c r="BH246" s="89">
        <v>-18.136666666666656</v>
      </c>
      <c r="BI246" s="89" t="s">
        <v>1315</v>
      </c>
      <c r="BJ246" s="89">
        <v>0.92333333333330359</v>
      </c>
      <c r="BK246" s="89" t="s">
        <v>1315</v>
      </c>
      <c r="BL246" s="36" t="s">
        <v>965</v>
      </c>
    </row>
    <row r="247" spans="1:65" ht="15" customHeight="1" x14ac:dyDescent="0.3">
      <c r="C247" s="1">
        <v>396</v>
      </c>
      <c r="D247" s="6">
        <v>7002</v>
      </c>
      <c r="E247" s="6">
        <v>4002</v>
      </c>
      <c r="F247" s="10" t="s">
        <v>1557</v>
      </c>
      <c r="G247" s="8" t="s">
        <v>50</v>
      </c>
      <c r="H247" s="9">
        <v>29.049999999999997</v>
      </c>
      <c r="I247" s="9">
        <v>11.72</v>
      </c>
      <c r="J247" s="9" t="s">
        <v>1315</v>
      </c>
      <c r="K247" s="1" t="s">
        <v>1762</v>
      </c>
      <c r="L247" s="2">
        <v>2</v>
      </c>
      <c r="M247" s="2" t="s">
        <v>2014</v>
      </c>
      <c r="N247" s="1">
        <v>1</v>
      </c>
      <c r="O247" s="1">
        <v>3</v>
      </c>
      <c r="P247" s="1" t="s">
        <v>51</v>
      </c>
      <c r="Q247" s="10" t="s">
        <v>1558</v>
      </c>
      <c r="R247" t="s">
        <v>2295</v>
      </c>
      <c r="S247" t="s">
        <v>2296</v>
      </c>
      <c r="T247">
        <v>89328423546</v>
      </c>
      <c r="U247" t="s">
        <v>2181</v>
      </c>
      <c r="V247" t="s">
        <v>2297</v>
      </c>
      <c r="W247">
        <v>9966271570</v>
      </c>
      <c r="X247" t="s">
        <v>2183</v>
      </c>
      <c r="Y247" t="s">
        <v>2118</v>
      </c>
      <c r="Z247" t="s">
        <v>2184</v>
      </c>
      <c r="AA247">
        <v>8</v>
      </c>
      <c r="AB247" s="6" t="s">
        <v>922</v>
      </c>
      <c r="AC247" s="2" t="s">
        <v>504</v>
      </c>
      <c r="AF247" s="167" t="s">
        <v>1688</v>
      </c>
      <c r="AH247" s="25"/>
      <c r="AI247" s="6">
        <v>2</v>
      </c>
      <c r="AJ247" s="13" t="s">
        <v>1329</v>
      </c>
      <c r="AK247" s="58">
        <v>0.54166666666666696</v>
      </c>
      <c r="AL247" s="58" t="str">
        <f t="shared" si="25"/>
        <v>09:30 - 13:00</v>
      </c>
      <c r="AM247" s="151">
        <v>6</v>
      </c>
      <c r="AN247" s="95">
        <f t="shared" si="30"/>
        <v>300000</v>
      </c>
      <c r="AO247" s="94" t="b">
        <v>1</v>
      </c>
      <c r="AP247" s="34">
        <f t="shared" si="26"/>
        <v>815.4</v>
      </c>
      <c r="AQ247" s="23">
        <f t="shared" si="27"/>
        <v>2</v>
      </c>
      <c r="AR247" s="35" t="s">
        <v>48</v>
      </c>
      <c r="AW247" s="63" t="str">
        <f t="shared" si="28"/>
        <v>12:00:33</v>
      </c>
      <c r="AX247" s="152"/>
      <c r="AY247" s="160">
        <v>1</v>
      </c>
      <c r="AZ247" s="10"/>
      <c r="BA247" s="104" t="str">
        <f t="shared" si="29"/>
        <v>МУКОМОЛЬНЫЙ-ПР-Д-2</v>
      </c>
      <c r="BB247" s="87">
        <f>AP247*3.5+10*60</f>
        <v>3453.9</v>
      </c>
      <c r="BD247" s="123"/>
      <c r="BE247" s="117" t="s">
        <v>1315</v>
      </c>
      <c r="BF247" s="89" t="s">
        <v>1315</v>
      </c>
      <c r="BG247" s="89">
        <v>-14.06666666666667</v>
      </c>
      <c r="BH247" s="89">
        <v>-29.176666666666662</v>
      </c>
      <c r="BI247" s="89" t="s">
        <v>1315</v>
      </c>
      <c r="BJ247" s="89" t="s">
        <v>1315</v>
      </c>
      <c r="BK247" s="89" t="s">
        <v>1315</v>
      </c>
      <c r="BL247" s="10" t="s">
        <v>503</v>
      </c>
    </row>
    <row r="248" spans="1:65" ht="15" customHeight="1" x14ac:dyDescent="0.3">
      <c r="C248" s="1">
        <v>152</v>
      </c>
      <c r="D248" s="6">
        <v>675</v>
      </c>
      <c r="E248" s="6">
        <v>7675</v>
      </c>
      <c r="F248" s="65" t="s">
        <v>1478</v>
      </c>
      <c r="G248" s="8" t="s">
        <v>50</v>
      </c>
      <c r="H248" s="9">
        <v>23.669999999999998</v>
      </c>
      <c r="I248" s="9">
        <v>9.14</v>
      </c>
      <c r="J248" s="9" t="s">
        <v>1800</v>
      </c>
      <c r="K248" s="1" t="s">
        <v>1735</v>
      </c>
      <c r="M248" s="2" t="s">
        <v>1691</v>
      </c>
      <c r="N248" s="1">
        <v>1</v>
      </c>
      <c r="O248" s="1">
        <v>1</v>
      </c>
      <c r="P248" s="1" t="s">
        <v>51</v>
      </c>
      <c r="Q248" s="10" t="s">
        <v>1012</v>
      </c>
      <c r="R248" t="s">
        <v>2298</v>
      </c>
      <c r="S248" t="s">
        <v>2299</v>
      </c>
      <c r="T248">
        <v>89268974484</v>
      </c>
      <c r="U248" t="s">
        <v>2181</v>
      </c>
      <c r="V248" t="s">
        <v>2300</v>
      </c>
      <c r="W248">
        <v>9955580517</v>
      </c>
      <c r="X248" t="s">
        <v>2216</v>
      </c>
      <c r="Y248" t="s">
        <v>2118</v>
      </c>
      <c r="Z248" t="s">
        <v>2184</v>
      </c>
      <c r="AA248">
        <v>8</v>
      </c>
      <c r="AB248" s="6" t="s">
        <v>816</v>
      </c>
      <c r="AC248" s="2" t="s">
        <v>1011</v>
      </c>
      <c r="AF248" s="153" t="s">
        <v>1684</v>
      </c>
      <c r="AH248" s="25"/>
      <c r="AI248" s="6">
        <v>1</v>
      </c>
      <c r="AJ248" s="137" t="str">
        <f ca="1">IF((WEEKDAY(TODAY(),2))=6,"10:00","06:30")</f>
        <v>06:30</v>
      </c>
      <c r="AK248" s="107" t="str">
        <f ca="1">IF((WEEKDAY(TODAY(),2))=6,"16:00","06:45")</f>
        <v>06:45</v>
      </c>
      <c r="AL248" s="58" t="str">
        <f t="shared" ca="1" si="25"/>
        <v>06:30 - 06:45</v>
      </c>
      <c r="AM248" s="151">
        <v>2</v>
      </c>
      <c r="AN248" s="97">
        <v>100000000</v>
      </c>
      <c r="AO248" s="94" t="b">
        <v>1</v>
      </c>
      <c r="AP248" s="34">
        <f t="shared" si="26"/>
        <v>656.2</v>
      </c>
      <c r="AQ248" s="23">
        <f t="shared" si="27"/>
        <v>2</v>
      </c>
      <c r="AR248" s="35" t="s">
        <v>48</v>
      </c>
      <c r="AU248" s="46"/>
      <c r="AW248" s="63" t="str">
        <f t="shared" ca="1" si="28"/>
        <v>06:30</v>
      </c>
      <c r="AX248" s="172"/>
      <c r="AY248" s="160">
        <v>1</v>
      </c>
      <c r="AZ248" s="10"/>
      <c r="BA248" s="104" t="str">
        <f t="shared" si="29"/>
        <v>ДМИТРОВСКОЕ-Ш-64К1</v>
      </c>
      <c r="BB248" s="87">
        <f>AP248*3.5+10*60</f>
        <v>2896.7000000000003</v>
      </c>
      <c r="BD248" s="123"/>
      <c r="BE248" s="117" t="s">
        <v>1315</v>
      </c>
      <c r="BF248" s="89" t="s">
        <v>1315</v>
      </c>
      <c r="BG248" s="89" t="s">
        <v>1315</v>
      </c>
      <c r="BH248" s="89" t="s">
        <v>1315</v>
      </c>
      <c r="BI248" s="89" t="s">
        <v>1315</v>
      </c>
      <c r="BJ248" s="89" t="s">
        <v>1315</v>
      </c>
      <c r="BK248" s="89">
        <v>-0.33333333333334281</v>
      </c>
      <c r="BL248" s="65" t="s">
        <v>332</v>
      </c>
    </row>
    <row r="249" spans="1:65" ht="15" customHeight="1" x14ac:dyDescent="0.3">
      <c r="C249" s="1">
        <v>151</v>
      </c>
      <c r="D249" s="6">
        <v>7228</v>
      </c>
      <c r="E249" s="84">
        <v>4228</v>
      </c>
      <c r="F249" s="54" t="s">
        <v>1477</v>
      </c>
      <c r="G249" s="8" t="s">
        <v>50</v>
      </c>
      <c r="H249" s="9">
        <v>37.799999999999997</v>
      </c>
      <c r="I249" s="9">
        <v>11.64</v>
      </c>
      <c r="J249" s="9" t="s">
        <v>1315</v>
      </c>
      <c r="K249" s="1" t="s">
        <v>1735</v>
      </c>
      <c r="M249" s="2" t="s">
        <v>1328</v>
      </c>
      <c r="N249" s="1">
        <v>1</v>
      </c>
      <c r="O249" s="1">
        <v>2</v>
      </c>
      <c r="P249" s="1" t="s">
        <v>51</v>
      </c>
      <c r="Q249" s="10" t="s">
        <v>1270</v>
      </c>
      <c r="R249" t="s">
        <v>2298</v>
      </c>
      <c r="S249" t="s">
        <v>2299</v>
      </c>
      <c r="T249">
        <v>89268974484</v>
      </c>
      <c r="U249" t="s">
        <v>2181</v>
      </c>
      <c r="V249" t="s">
        <v>2300</v>
      </c>
      <c r="W249">
        <v>9955580517</v>
      </c>
      <c r="X249" t="s">
        <v>2216</v>
      </c>
      <c r="Y249" t="s">
        <v>2118</v>
      </c>
      <c r="Z249" t="s">
        <v>2184</v>
      </c>
      <c r="AA249">
        <v>8</v>
      </c>
      <c r="AB249" s="6" t="s">
        <v>815</v>
      </c>
      <c r="AC249" s="10" t="s">
        <v>1271</v>
      </c>
      <c r="AF249" s="156" t="s">
        <v>1681</v>
      </c>
      <c r="AH249" s="25"/>
      <c r="AI249" s="6">
        <v>2</v>
      </c>
      <c r="AJ249" s="13" t="s">
        <v>1328</v>
      </c>
      <c r="AK249" s="142" t="str">
        <f>IF(AP249&gt;2000,"15:00",IF(AP249&lt;1000,"16:30","16:00"))</f>
        <v>16:30</v>
      </c>
      <c r="AL249" s="58" t="str">
        <f t="shared" si="25"/>
        <v>09:00 - 16:30</v>
      </c>
      <c r="AM249" s="151">
        <v>2</v>
      </c>
      <c r="AN249" s="95">
        <f t="shared" ref="AN249:AN258" si="37">IF(AP249&gt;1000,(AP249*320),300000)</f>
        <v>300000</v>
      </c>
      <c r="AO249" s="94" t="b">
        <v>1</v>
      </c>
      <c r="AP249" s="34">
        <f t="shared" si="26"/>
        <v>988.8</v>
      </c>
      <c r="AQ249" s="23">
        <f t="shared" si="27"/>
        <v>2</v>
      </c>
      <c r="AR249" s="35" t="s">
        <v>48</v>
      </c>
      <c r="AU249" s="46"/>
      <c r="AW249" s="63" t="str">
        <f t="shared" si="28"/>
        <v>09:00</v>
      </c>
      <c r="AX249" s="172"/>
      <c r="AY249" s="160">
        <v>2</v>
      </c>
      <c r="AZ249" s="10"/>
      <c r="BA249" s="104" t="str">
        <f t="shared" si="29"/>
        <v>ЯБЛОЧКОВА-ВЛ21Д</v>
      </c>
      <c r="BB249" s="87">
        <f>AP249*3.5+10*60</f>
        <v>4060.7999999999997</v>
      </c>
      <c r="BD249" s="123"/>
      <c r="BE249" s="117" t="s">
        <v>1315</v>
      </c>
      <c r="BF249" s="89" t="s">
        <v>1315</v>
      </c>
      <c r="BG249" s="89">
        <v>116.16333333333336</v>
      </c>
      <c r="BH249" s="89" t="s">
        <v>1315</v>
      </c>
      <c r="BI249" s="89" t="s">
        <v>1315</v>
      </c>
      <c r="BJ249" s="89">
        <v>-55.073333333333323</v>
      </c>
      <c r="BK249" s="89" t="s">
        <v>1315</v>
      </c>
      <c r="BL249" s="54" t="s">
        <v>1269</v>
      </c>
    </row>
    <row r="250" spans="1:65" ht="15" customHeight="1" x14ac:dyDescent="0.3">
      <c r="C250" s="1">
        <v>144</v>
      </c>
      <c r="D250" s="6">
        <v>7015</v>
      </c>
      <c r="E250" s="6">
        <v>4015</v>
      </c>
      <c r="F250" s="10" t="s">
        <v>1475</v>
      </c>
      <c r="G250" s="8" t="s">
        <v>50</v>
      </c>
      <c r="H250" s="9">
        <v>5.26</v>
      </c>
      <c r="I250" s="9">
        <v>0.45</v>
      </c>
      <c r="J250" s="9" t="s">
        <v>1315</v>
      </c>
      <c r="K250" s="1" t="s">
        <v>1735</v>
      </c>
      <c r="M250" s="2" t="s">
        <v>1997</v>
      </c>
      <c r="N250" s="1">
        <v>1</v>
      </c>
      <c r="O250" s="1">
        <v>3</v>
      </c>
      <c r="P250" s="1" t="s">
        <v>51</v>
      </c>
      <c r="Q250" s="10" t="s">
        <v>328</v>
      </c>
      <c r="R250" t="s">
        <v>2298</v>
      </c>
      <c r="S250" t="s">
        <v>2299</v>
      </c>
      <c r="T250">
        <v>89268974484</v>
      </c>
      <c r="U250" t="s">
        <v>2181</v>
      </c>
      <c r="V250" t="s">
        <v>2300</v>
      </c>
      <c r="W250">
        <v>9955580517</v>
      </c>
      <c r="X250" t="s">
        <v>2216</v>
      </c>
      <c r="Y250" t="s">
        <v>2118</v>
      </c>
      <c r="Z250" t="s">
        <v>2184</v>
      </c>
      <c r="AA250">
        <v>8</v>
      </c>
      <c r="AB250" s="6" t="s">
        <v>812</v>
      </c>
      <c r="AC250" s="2" t="s">
        <v>329</v>
      </c>
      <c r="AF250" s="14" t="s">
        <v>732</v>
      </c>
      <c r="AG250" s="5" t="s">
        <v>28</v>
      </c>
      <c r="AH250" s="5">
        <v>100</v>
      </c>
      <c r="AI250" s="6">
        <v>2</v>
      </c>
      <c r="AJ250" s="13" t="s">
        <v>1329</v>
      </c>
      <c r="AK250" s="58">
        <v>0.54166666666666696</v>
      </c>
      <c r="AL250" s="58" t="str">
        <f t="shared" si="25"/>
        <v>09:30 - 13:00</v>
      </c>
      <c r="AM250" s="151"/>
      <c r="AN250" s="95">
        <f t="shared" si="37"/>
        <v>300000</v>
      </c>
      <c r="AO250" s="94" t="b">
        <v>1</v>
      </c>
      <c r="AP250" s="34">
        <f t="shared" si="26"/>
        <v>114.19999999999999</v>
      </c>
      <c r="AQ250" s="23">
        <f t="shared" si="27"/>
        <v>1</v>
      </c>
      <c r="AR250" s="35" t="s">
        <v>48</v>
      </c>
      <c r="AU250" s="46"/>
      <c r="AW250" s="63" t="str">
        <f t="shared" si="28"/>
        <v>10:28:38</v>
      </c>
      <c r="AX250" s="152"/>
      <c r="AY250" s="160">
        <v>1</v>
      </c>
      <c r="AZ250" s="10"/>
      <c r="BA250" s="104" t="str">
        <f t="shared" si="29"/>
        <v>НОВОСЛОБОДСКАЯ-67/69</v>
      </c>
      <c r="BB250" s="86">
        <f>AP250*3.5+10*60</f>
        <v>999.69999999999993</v>
      </c>
      <c r="BD250" s="123"/>
      <c r="BE250" s="117" t="s">
        <v>1315</v>
      </c>
      <c r="BF250" s="89" t="s">
        <v>1315</v>
      </c>
      <c r="BG250" s="89" t="s">
        <v>1315</v>
      </c>
      <c r="BH250" s="89" t="s">
        <v>1315</v>
      </c>
      <c r="BI250" s="89" t="s">
        <v>1315</v>
      </c>
      <c r="BJ250" s="89" t="s">
        <v>1315</v>
      </c>
      <c r="BK250" s="89" t="s">
        <v>1315</v>
      </c>
      <c r="BL250" s="10" t="s">
        <v>327</v>
      </c>
      <c r="BM250" s="132"/>
    </row>
    <row r="251" spans="1:65" ht="15" customHeight="1" x14ac:dyDescent="0.3">
      <c r="C251" s="1">
        <v>277</v>
      </c>
      <c r="D251" s="6">
        <v>624</v>
      </c>
      <c r="E251" s="6">
        <v>7624</v>
      </c>
      <c r="F251" s="1" t="s">
        <v>1521</v>
      </c>
      <c r="G251" s="8" t="s">
        <v>50</v>
      </c>
      <c r="H251" s="9">
        <v>41.78</v>
      </c>
      <c r="I251" s="9">
        <v>19.41</v>
      </c>
      <c r="J251" s="9" t="s">
        <v>1315</v>
      </c>
      <c r="K251" s="1" t="s">
        <v>1735</v>
      </c>
      <c r="M251" s="2" t="s">
        <v>1929</v>
      </c>
      <c r="N251" s="1">
        <v>1</v>
      </c>
      <c r="O251" s="1">
        <v>4</v>
      </c>
      <c r="P251" s="1" t="s">
        <v>51</v>
      </c>
      <c r="Q251" s="10" t="s">
        <v>412</v>
      </c>
      <c r="R251" t="s">
        <v>2298</v>
      </c>
      <c r="S251" t="s">
        <v>2299</v>
      </c>
      <c r="T251">
        <v>89268974484</v>
      </c>
      <c r="U251" t="s">
        <v>2181</v>
      </c>
      <c r="V251" t="s">
        <v>2300</v>
      </c>
      <c r="W251">
        <v>9955580517</v>
      </c>
      <c r="X251" t="s">
        <v>2216</v>
      </c>
      <c r="Y251" t="s">
        <v>2118</v>
      </c>
      <c r="Z251" t="s">
        <v>2184</v>
      </c>
      <c r="AA251">
        <v>8</v>
      </c>
      <c r="AB251" s="6" t="s">
        <v>873</v>
      </c>
      <c r="AC251" s="2" t="s">
        <v>413</v>
      </c>
      <c r="AF251" s="14" t="s">
        <v>732</v>
      </c>
      <c r="AI251" s="6">
        <v>2</v>
      </c>
      <c r="AJ251" s="13" t="s">
        <v>1329</v>
      </c>
      <c r="AK251" s="142" t="str">
        <f>IF(AP251&gt;2000,"15:00",IF(AP251&lt;1000,"16:30","16:00"))</f>
        <v>16:00</v>
      </c>
      <c r="AL251" s="58" t="str">
        <f t="shared" si="25"/>
        <v>09:30 - 16:00</v>
      </c>
      <c r="AM251" s="151">
        <v>3</v>
      </c>
      <c r="AN251" s="95">
        <f t="shared" si="37"/>
        <v>391616</v>
      </c>
      <c r="AO251" s="94" t="b">
        <v>1</v>
      </c>
      <c r="AP251" s="34">
        <f t="shared" si="26"/>
        <v>1223.8</v>
      </c>
      <c r="AQ251" s="23">
        <f t="shared" si="27"/>
        <v>3</v>
      </c>
      <c r="AR251" s="35" t="s">
        <v>48</v>
      </c>
      <c r="AW251" s="63" t="str">
        <f t="shared" si="28"/>
        <v>10:57:43</v>
      </c>
      <c r="AX251" s="152"/>
      <c r="AY251" s="160">
        <v>3</v>
      </c>
      <c r="AZ251" s="10"/>
      <c r="BA251" s="104" t="str">
        <f t="shared" si="29"/>
        <v>МИРА-ПР-Т-102</v>
      </c>
      <c r="BB251" s="87">
        <f>AP251*3.5+10*60</f>
        <v>4883.3</v>
      </c>
      <c r="BD251" s="123"/>
      <c r="BE251" s="117" t="s">
        <v>1315</v>
      </c>
      <c r="BF251" s="89" t="s">
        <v>1315</v>
      </c>
      <c r="BG251" s="89" t="s">
        <v>1315</v>
      </c>
      <c r="BH251" s="89" t="s">
        <v>1315</v>
      </c>
      <c r="BI251" s="89" t="s">
        <v>1315</v>
      </c>
      <c r="BJ251" s="89" t="s">
        <v>1315</v>
      </c>
      <c r="BK251" s="89" t="s">
        <v>1315</v>
      </c>
      <c r="BL251" s="1" t="s">
        <v>411</v>
      </c>
    </row>
    <row r="252" spans="1:65" ht="15" customHeight="1" x14ac:dyDescent="0.3">
      <c r="C252" s="1">
        <v>608</v>
      </c>
      <c r="D252" s="6">
        <v>88</v>
      </c>
      <c r="E252" s="6">
        <v>7088</v>
      </c>
      <c r="F252" s="1" t="s">
        <v>1640</v>
      </c>
      <c r="G252" s="8" t="s">
        <v>50</v>
      </c>
      <c r="H252" s="9">
        <v>42.49</v>
      </c>
      <c r="I252" s="9">
        <v>9.73</v>
      </c>
      <c r="J252" s="9" t="s">
        <v>1822</v>
      </c>
      <c r="K252" s="1" t="s">
        <v>1738</v>
      </c>
      <c r="L252" s="2" t="s">
        <v>44</v>
      </c>
      <c r="M252" s="2" t="s">
        <v>1329</v>
      </c>
      <c r="N252" s="1">
        <v>1</v>
      </c>
      <c r="O252" s="1">
        <v>1</v>
      </c>
      <c r="P252" s="1" t="s">
        <v>51</v>
      </c>
      <c r="Q252" s="10" t="s">
        <v>1211</v>
      </c>
      <c r="R252" t="s">
        <v>2301</v>
      </c>
      <c r="S252" t="s">
        <v>2302</v>
      </c>
      <c r="T252">
        <v>89939099301</v>
      </c>
      <c r="U252" t="s">
        <v>2181</v>
      </c>
      <c r="V252" t="s">
        <v>2303</v>
      </c>
      <c r="W252">
        <v>9955447864</v>
      </c>
      <c r="X252" t="s">
        <v>2183</v>
      </c>
      <c r="Y252" t="s">
        <v>2118</v>
      </c>
      <c r="Z252" t="s">
        <v>2184</v>
      </c>
      <c r="AA252">
        <v>8</v>
      </c>
      <c r="AB252" s="6" t="s">
        <v>1664</v>
      </c>
      <c r="AC252" s="2" t="s">
        <v>692</v>
      </c>
      <c r="AF252" s="14" t="s">
        <v>732</v>
      </c>
      <c r="AG252" s="5" t="s">
        <v>28</v>
      </c>
      <c r="AH252" s="5">
        <v>100</v>
      </c>
      <c r="AI252" s="6">
        <v>2</v>
      </c>
      <c r="AJ252" s="13" t="s">
        <v>1329</v>
      </c>
      <c r="AK252" s="58">
        <v>0.5</v>
      </c>
      <c r="AL252" s="58" t="str">
        <f t="shared" si="25"/>
        <v>09:30 - 12:00</v>
      </c>
      <c r="AM252" s="151"/>
      <c r="AN252" s="95">
        <f t="shared" si="37"/>
        <v>334208</v>
      </c>
      <c r="AO252" s="94" t="b">
        <v>1</v>
      </c>
      <c r="AP252" s="34">
        <f t="shared" si="26"/>
        <v>1044.4000000000001</v>
      </c>
      <c r="AQ252" s="23">
        <f t="shared" si="27"/>
        <v>2</v>
      </c>
      <c r="AR252" s="35" t="s">
        <v>48</v>
      </c>
      <c r="AW252" s="63" t="str">
        <f t="shared" si="28"/>
        <v>09:30</v>
      </c>
      <c r="AX252" s="152"/>
      <c r="AY252" s="160">
        <v>2</v>
      </c>
      <c r="AZ252" s="10"/>
      <c r="BA252" s="104" t="str">
        <f t="shared" si="29"/>
        <v>Б-ПОЛЯНКА-30</v>
      </c>
      <c r="BB252" s="86">
        <f>AP252*4.2+10*60</f>
        <v>4986.4800000000005</v>
      </c>
      <c r="BD252" s="123"/>
      <c r="BE252" s="117" t="s">
        <v>1315</v>
      </c>
      <c r="BF252" s="89" t="s">
        <v>1315</v>
      </c>
      <c r="BG252" s="89" t="s">
        <v>1315</v>
      </c>
      <c r="BH252" s="89" t="s">
        <v>1315</v>
      </c>
      <c r="BI252" s="89" t="s">
        <v>1315</v>
      </c>
      <c r="BJ252" s="89" t="s">
        <v>1315</v>
      </c>
      <c r="BK252" s="89" t="s">
        <v>1315</v>
      </c>
      <c r="BL252" s="1" t="s">
        <v>691</v>
      </c>
    </row>
    <row r="253" spans="1:65" ht="15" customHeight="1" x14ac:dyDescent="0.3">
      <c r="C253" s="1">
        <v>611</v>
      </c>
      <c r="D253" s="6">
        <v>7097</v>
      </c>
      <c r="E253" s="6">
        <v>4097</v>
      </c>
      <c r="F253" s="36" t="s">
        <v>1641</v>
      </c>
      <c r="G253" s="8" t="s">
        <v>50</v>
      </c>
      <c r="H253" s="9">
        <v>13.51</v>
      </c>
      <c r="I253" s="9">
        <v>6.94</v>
      </c>
      <c r="J253" s="9" t="s">
        <v>1315</v>
      </c>
      <c r="K253" s="1" t="s">
        <v>1738</v>
      </c>
      <c r="L253" s="2" t="s">
        <v>44</v>
      </c>
      <c r="M253" s="2" t="s">
        <v>1931</v>
      </c>
      <c r="N253" s="1">
        <v>1</v>
      </c>
      <c r="O253" s="1">
        <v>2</v>
      </c>
      <c r="P253" s="1" t="s">
        <v>51</v>
      </c>
      <c r="Q253" s="1" t="s">
        <v>1020</v>
      </c>
      <c r="R253" t="s">
        <v>2301</v>
      </c>
      <c r="S253" t="s">
        <v>2302</v>
      </c>
      <c r="T253">
        <v>89939099301</v>
      </c>
      <c r="U253" t="s">
        <v>2181</v>
      </c>
      <c r="V253" t="s">
        <v>2303</v>
      </c>
      <c r="W253">
        <v>9955447864</v>
      </c>
      <c r="X253" t="s">
        <v>2183</v>
      </c>
      <c r="Y253" t="s">
        <v>2118</v>
      </c>
      <c r="Z253" t="s">
        <v>2184</v>
      </c>
      <c r="AA253">
        <v>8</v>
      </c>
      <c r="AB253" s="6" t="s">
        <v>1692</v>
      </c>
      <c r="AC253" s="1" t="s">
        <v>1021</v>
      </c>
      <c r="AF253" s="14" t="s">
        <v>732</v>
      </c>
      <c r="AG253" s="5" t="s">
        <v>28</v>
      </c>
      <c r="AH253" s="5">
        <v>100</v>
      </c>
      <c r="AI253" s="6">
        <v>2</v>
      </c>
      <c r="AJ253" s="13" t="s">
        <v>1329</v>
      </c>
      <c r="AK253" s="58">
        <v>0.5</v>
      </c>
      <c r="AL253" s="58" t="str">
        <f t="shared" si="25"/>
        <v>09:30 - 12:00</v>
      </c>
      <c r="AM253" s="151"/>
      <c r="AN253" s="95">
        <f t="shared" si="37"/>
        <v>300000</v>
      </c>
      <c r="AO253" s="94" t="b">
        <v>1</v>
      </c>
      <c r="AP253" s="34">
        <f t="shared" si="26"/>
        <v>409</v>
      </c>
      <c r="AQ253" s="23">
        <f t="shared" si="27"/>
        <v>1</v>
      </c>
      <c r="AR253" s="35" t="s">
        <v>48</v>
      </c>
      <c r="AW253" s="63" t="str">
        <f t="shared" si="28"/>
        <v>11:03:06</v>
      </c>
      <c r="AX253" s="152"/>
      <c r="AY253" s="160">
        <v>1</v>
      </c>
      <c r="AZ253" s="10"/>
      <c r="BA253" s="104" t="str">
        <f t="shared" si="29"/>
        <v>ПЯТНИЦКАЯ-11/23К1</v>
      </c>
      <c r="BB253" s="86">
        <f>AP253*3.8+10*60</f>
        <v>2154.1999999999998</v>
      </c>
      <c r="BD253" s="123"/>
      <c r="BE253" s="117" t="s">
        <v>1315</v>
      </c>
      <c r="BF253" s="89">
        <v>-47.669333333333334</v>
      </c>
      <c r="BG253" s="89" t="s">
        <v>1315</v>
      </c>
      <c r="BH253" s="89" t="s">
        <v>1315</v>
      </c>
      <c r="BI253" s="89" t="s">
        <v>1315</v>
      </c>
      <c r="BJ253" s="89" t="s">
        <v>1315</v>
      </c>
      <c r="BK253" s="89" t="s">
        <v>1315</v>
      </c>
      <c r="BL253" s="36" t="s">
        <v>1019</v>
      </c>
    </row>
    <row r="254" spans="1:65" s="125" customFormat="1" ht="15" customHeight="1" x14ac:dyDescent="0.3">
      <c r="A254" s="1"/>
      <c r="B254" s="1"/>
      <c r="C254" s="1">
        <v>610</v>
      </c>
      <c r="D254" s="6">
        <v>909</v>
      </c>
      <c r="E254" s="6">
        <v>4909</v>
      </c>
      <c r="F254" s="37" t="s">
        <v>1457</v>
      </c>
      <c r="G254" s="8" t="s">
        <v>50</v>
      </c>
      <c r="H254" s="9">
        <v>33.6</v>
      </c>
      <c r="I254" s="9">
        <v>42.32</v>
      </c>
      <c r="J254" s="9" t="s">
        <v>1315</v>
      </c>
      <c r="K254" s="1" t="s">
        <v>1738</v>
      </c>
      <c r="L254" s="2" t="s">
        <v>44</v>
      </c>
      <c r="M254" s="2" t="s">
        <v>1988</v>
      </c>
      <c r="N254" s="1">
        <v>1</v>
      </c>
      <c r="O254" s="1">
        <v>3</v>
      </c>
      <c r="P254" s="1" t="s">
        <v>51</v>
      </c>
      <c r="Q254" s="1" t="s">
        <v>697</v>
      </c>
      <c r="R254" t="s">
        <v>2301</v>
      </c>
      <c r="S254" t="s">
        <v>2302</v>
      </c>
      <c r="T254">
        <v>89939099301</v>
      </c>
      <c r="U254" t="s">
        <v>2181</v>
      </c>
      <c r="V254" t="s">
        <v>2303</v>
      </c>
      <c r="W254">
        <v>9955447864</v>
      </c>
      <c r="X254" t="s">
        <v>2183</v>
      </c>
      <c r="Y254" t="s">
        <v>2118</v>
      </c>
      <c r="Z254" t="s">
        <v>2184</v>
      </c>
      <c r="AA254">
        <v>8</v>
      </c>
      <c r="AB254" s="6" t="s">
        <v>1668</v>
      </c>
      <c r="AC254" s="2" t="s">
        <v>698</v>
      </c>
      <c r="AD254" s="48"/>
      <c r="AE254" s="48"/>
      <c r="AF254" s="14" t="s">
        <v>732</v>
      </c>
      <c r="AG254" s="5" t="s">
        <v>28</v>
      </c>
      <c r="AH254" s="5">
        <v>100</v>
      </c>
      <c r="AI254" s="6">
        <v>2</v>
      </c>
      <c r="AJ254" s="13" t="s">
        <v>1329</v>
      </c>
      <c r="AK254" s="58">
        <v>0.5</v>
      </c>
      <c r="AL254" s="58" t="str">
        <f t="shared" si="25"/>
        <v>09:30 - 12:00</v>
      </c>
      <c r="AM254" s="151"/>
      <c r="AN254" s="95">
        <f t="shared" si="37"/>
        <v>485888</v>
      </c>
      <c r="AO254" s="94" t="b">
        <v>1</v>
      </c>
      <c r="AP254" s="34">
        <f t="shared" si="26"/>
        <v>1518.4</v>
      </c>
      <c r="AQ254" s="23">
        <f t="shared" si="27"/>
        <v>3</v>
      </c>
      <c r="AR254" s="35" t="s">
        <v>48</v>
      </c>
      <c r="AS254" s="1"/>
      <c r="AT254" s="1"/>
      <c r="AU254" s="44"/>
      <c r="AV254" s="1"/>
      <c r="AW254" s="63" t="str">
        <f t="shared" si="28"/>
        <v>11:42:40</v>
      </c>
      <c r="AX254" s="152"/>
      <c r="AY254" s="160">
        <v>1</v>
      </c>
      <c r="AZ254" s="10"/>
      <c r="BA254" s="104" t="str">
        <f t="shared" si="29"/>
        <v>ОРДЫНСКИЙ-ТУПИК-4А</v>
      </c>
      <c r="BB254" s="70">
        <f>AP254*4.1+10*60</f>
        <v>6825.44</v>
      </c>
      <c r="BC254" s="110"/>
      <c r="BD254" s="123"/>
      <c r="BE254" s="117" t="s">
        <v>1315</v>
      </c>
      <c r="BF254" s="89" t="s">
        <v>1315</v>
      </c>
      <c r="BG254" s="89" t="s">
        <v>1315</v>
      </c>
      <c r="BH254" s="89" t="s">
        <v>1315</v>
      </c>
      <c r="BI254" s="89" t="s">
        <v>1315</v>
      </c>
      <c r="BJ254" s="89">
        <v>-1.6343333333333376</v>
      </c>
      <c r="BK254" s="89" t="s">
        <v>1315</v>
      </c>
      <c r="BL254" s="37" t="s">
        <v>696</v>
      </c>
      <c r="BM254" s="1"/>
    </row>
    <row r="255" spans="1:65" ht="15" customHeight="1" x14ac:dyDescent="0.3">
      <c r="C255" s="1">
        <v>590</v>
      </c>
      <c r="D255" s="6">
        <v>7092</v>
      </c>
      <c r="E255" s="6">
        <v>4092</v>
      </c>
      <c r="F255" s="18" t="s">
        <v>1629</v>
      </c>
      <c r="G255" s="8" t="s">
        <v>50</v>
      </c>
      <c r="H255" s="9">
        <v>35</v>
      </c>
      <c r="I255" s="9">
        <v>8.31</v>
      </c>
      <c r="J255" s="9" t="s">
        <v>1816</v>
      </c>
      <c r="K255" s="1" t="s">
        <v>1739</v>
      </c>
      <c r="L255" s="60" t="s">
        <v>1359</v>
      </c>
      <c r="M255" s="2" t="s">
        <v>1327</v>
      </c>
      <c r="N255" s="1">
        <v>1</v>
      </c>
      <c r="O255" s="1">
        <v>1</v>
      </c>
      <c r="P255" s="1" t="s">
        <v>51</v>
      </c>
      <c r="Q255" s="10" t="s">
        <v>1003</v>
      </c>
      <c r="R255" t="s">
        <v>2304</v>
      </c>
      <c r="S255" t="s">
        <v>2305</v>
      </c>
      <c r="T255">
        <v>89258254741</v>
      </c>
      <c r="U255" t="s">
        <v>2181</v>
      </c>
      <c r="V255" t="s">
        <v>2306</v>
      </c>
      <c r="W255">
        <v>9955446341</v>
      </c>
      <c r="X255" t="s">
        <v>2183</v>
      </c>
      <c r="Y255" t="s">
        <v>2118</v>
      </c>
      <c r="Z255" t="s">
        <v>2184</v>
      </c>
      <c r="AA255">
        <v>8</v>
      </c>
      <c r="AB255" s="6" t="s">
        <v>1287</v>
      </c>
      <c r="AC255" s="2" t="s">
        <v>1004</v>
      </c>
      <c r="AF255" s="14" t="s">
        <v>732</v>
      </c>
      <c r="AG255" s="5" t="s">
        <v>28</v>
      </c>
      <c r="AH255" s="5">
        <v>100</v>
      </c>
      <c r="AI255" s="92">
        <v>1</v>
      </c>
      <c r="AJ255" s="13" t="s">
        <v>1327</v>
      </c>
      <c r="AK255" s="58">
        <v>0.375</v>
      </c>
      <c r="AL255" s="58" t="str">
        <f t="shared" si="25"/>
        <v>08:30 - 09:00</v>
      </c>
      <c r="AM255" s="151"/>
      <c r="AN255" s="95">
        <f t="shared" si="37"/>
        <v>300000</v>
      </c>
      <c r="AO255" s="94" t="b">
        <v>1</v>
      </c>
      <c r="AP255" s="34">
        <f t="shared" si="26"/>
        <v>866.2</v>
      </c>
      <c r="AQ255" s="23">
        <f t="shared" si="27"/>
        <v>2</v>
      </c>
      <c r="AR255" s="35" t="s">
        <v>48</v>
      </c>
      <c r="AW255" s="63" t="str">
        <f t="shared" si="28"/>
        <v>08:30</v>
      </c>
      <c r="AX255" s="152"/>
      <c r="AY255" s="160">
        <v>1</v>
      </c>
      <c r="AZ255" s="10"/>
      <c r="BA255" s="104" t="str">
        <f t="shared" si="29"/>
        <v>ЧИСТОПРУДНЫЙ-Б-Р-9К1</v>
      </c>
      <c r="BB255" s="70">
        <f>AP255*4.1+10*60</f>
        <v>4151.42</v>
      </c>
      <c r="BD255" s="123"/>
      <c r="BE255" s="117" t="s">
        <v>1315</v>
      </c>
      <c r="BF255" s="89" t="s">
        <v>1315</v>
      </c>
      <c r="BG255" s="89" t="s">
        <v>1315</v>
      </c>
      <c r="BH255" s="89" t="s">
        <v>1315</v>
      </c>
      <c r="BI255" s="89" t="s">
        <v>1315</v>
      </c>
      <c r="BJ255" s="89" t="s">
        <v>1315</v>
      </c>
      <c r="BK255" s="89" t="s">
        <v>1315</v>
      </c>
      <c r="BL255" s="18" t="s">
        <v>1002</v>
      </c>
    </row>
    <row r="256" spans="1:65" s="125" customFormat="1" ht="15" customHeight="1" x14ac:dyDescent="0.3">
      <c r="A256" s="1"/>
      <c r="B256" s="1"/>
      <c r="C256" s="1">
        <v>587</v>
      </c>
      <c r="D256" s="6">
        <v>739</v>
      </c>
      <c r="E256" s="6">
        <v>4739</v>
      </c>
      <c r="F256" s="1" t="s">
        <v>1627</v>
      </c>
      <c r="G256" s="8" t="s">
        <v>50</v>
      </c>
      <c r="H256" s="9">
        <v>11.45</v>
      </c>
      <c r="I256" s="9">
        <v>2.96</v>
      </c>
      <c r="J256" s="9" t="s">
        <v>1315</v>
      </c>
      <c r="K256" s="1" t="s">
        <v>1739</v>
      </c>
      <c r="L256" s="2" t="s">
        <v>44</v>
      </c>
      <c r="M256" s="2" t="s">
        <v>1932</v>
      </c>
      <c r="N256" s="1">
        <v>1</v>
      </c>
      <c r="O256" s="1">
        <v>2</v>
      </c>
      <c r="P256" s="1" t="s">
        <v>51</v>
      </c>
      <c r="Q256" s="10" t="s">
        <v>669</v>
      </c>
      <c r="R256" t="s">
        <v>2304</v>
      </c>
      <c r="S256" t="s">
        <v>2305</v>
      </c>
      <c r="T256">
        <v>89258254741</v>
      </c>
      <c r="U256" t="s">
        <v>2181</v>
      </c>
      <c r="V256" t="s">
        <v>2306</v>
      </c>
      <c r="W256">
        <v>9955446341</v>
      </c>
      <c r="X256" t="s">
        <v>2183</v>
      </c>
      <c r="Y256" t="s">
        <v>2118</v>
      </c>
      <c r="Z256" t="s">
        <v>2184</v>
      </c>
      <c r="AA256">
        <v>8</v>
      </c>
      <c r="AB256" s="6" t="s">
        <v>1281</v>
      </c>
      <c r="AC256" s="2" t="s">
        <v>670</v>
      </c>
      <c r="AD256" s="48" t="s">
        <v>1165</v>
      </c>
      <c r="AE256" s="48" t="s">
        <v>1166</v>
      </c>
      <c r="AF256" s="14" t="s">
        <v>732</v>
      </c>
      <c r="AG256" s="5" t="s">
        <v>28</v>
      </c>
      <c r="AH256" s="5">
        <v>100</v>
      </c>
      <c r="AI256" s="6">
        <v>2</v>
      </c>
      <c r="AJ256" s="13" t="s">
        <v>1329</v>
      </c>
      <c r="AK256" s="58">
        <v>0.54166666666666696</v>
      </c>
      <c r="AL256" s="58" t="str">
        <f t="shared" si="25"/>
        <v>09:30 - 13:00</v>
      </c>
      <c r="AM256" s="151"/>
      <c r="AN256" s="95">
        <f t="shared" si="37"/>
        <v>300000</v>
      </c>
      <c r="AO256" s="94" t="b">
        <v>1</v>
      </c>
      <c r="AP256" s="34">
        <f t="shared" si="26"/>
        <v>288.2</v>
      </c>
      <c r="AQ256" s="23">
        <f t="shared" si="27"/>
        <v>1</v>
      </c>
      <c r="AR256" s="35" t="s">
        <v>48</v>
      </c>
      <c r="AS256" s="1"/>
      <c r="AT256" s="1"/>
      <c r="AU256" s="44"/>
      <c r="AV256" s="1"/>
      <c r="AW256" s="63" t="str">
        <f t="shared" si="28"/>
        <v>09:41:06</v>
      </c>
      <c r="AX256" s="152"/>
      <c r="AY256" s="160">
        <v>1</v>
      </c>
      <c r="AZ256" s="10"/>
      <c r="BA256" s="104" t="str">
        <f t="shared" si="29"/>
        <v>МЯСНИЦКАЯ-32/1К1</v>
      </c>
      <c r="BB256" s="70">
        <f>AP256*4.1+10*60</f>
        <v>1781.62</v>
      </c>
      <c r="BC256" s="110"/>
      <c r="BD256" s="123"/>
      <c r="BE256" s="117">
        <v>-41.171999999999997</v>
      </c>
      <c r="BF256" s="89" t="s">
        <v>1315</v>
      </c>
      <c r="BG256" s="89" t="s">
        <v>1315</v>
      </c>
      <c r="BH256" s="89" t="s">
        <v>1315</v>
      </c>
      <c r="BI256" s="89" t="s">
        <v>1315</v>
      </c>
      <c r="BJ256" s="89" t="s">
        <v>1315</v>
      </c>
      <c r="BK256" s="89" t="s">
        <v>1315</v>
      </c>
      <c r="BL256" s="1" t="s">
        <v>668</v>
      </c>
      <c r="BM256" s="1"/>
    </row>
    <row r="257" spans="3:64" ht="15" customHeight="1" x14ac:dyDescent="0.3">
      <c r="C257" s="1">
        <v>586</v>
      </c>
      <c r="D257" s="6">
        <v>603</v>
      </c>
      <c r="E257" s="6">
        <v>7603</v>
      </c>
      <c r="F257" s="1" t="s">
        <v>1626</v>
      </c>
      <c r="G257" s="8" t="s">
        <v>50</v>
      </c>
      <c r="H257" s="9">
        <v>13.58</v>
      </c>
      <c r="I257" s="9">
        <v>4.05</v>
      </c>
      <c r="J257" s="9" t="s">
        <v>1315</v>
      </c>
      <c r="K257" s="1" t="s">
        <v>1739</v>
      </c>
      <c r="L257" s="2" t="s">
        <v>44</v>
      </c>
      <c r="M257" s="2" t="s">
        <v>2017</v>
      </c>
      <c r="N257" s="1">
        <v>1</v>
      </c>
      <c r="O257" s="1">
        <v>3</v>
      </c>
      <c r="P257" s="1" t="s">
        <v>51</v>
      </c>
      <c r="Q257" s="10" t="s">
        <v>666</v>
      </c>
      <c r="R257" t="s">
        <v>2304</v>
      </c>
      <c r="S257" t="s">
        <v>2305</v>
      </c>
      <c r="T257">
        <v>89258254741</v>
      </c>
      <c r="U257" t="s">
        <v>2181</v>
      </c>
      <c r="V257" t="s">
        <v>2306</v>
      </c>
      <c r="W257">
        <v>9955446341</v>
      </c>
      <c r="X257" t="s">
        <v>2183</v>
      </c>
      <c r="Y257" t="s">
        <v>2118</v>
      </c>
      <c r="Z257" t="s">
        <v>2184</v>
      </c>
      <c r="AA257">
        <v>8</v>
      </c>
      <c r="AB257" s="6" t="s">
        <v>1280</v>
      </c>
      <c r="AC257" s="2" t="s">
        <v>667</v>
      </c>
      <c r="AF257" s="14" t="s">
        <v>732</v>
      </c>
      <c r="AG257" s="5" t="s">
        <v>28</v>
      </c>
      <c r="AH257" s="5">
        <v>100</v>
      </c>
      <c r="AI257" s="6">
        <v>2</v>
      </c>
      <c r="AJ257" s="13" t="s">
        <v>1329</v>
      </c>
      <c r="AK257" s="58">
        <v>0.5</v>
      </c>
      <c r="AL257" s="58" t="str">
        <f t="shared" si="25"/>
        <v>09:30 - 12:00</v>
      </c>
      <c r="AM257" s="151"/>
      <c r="AN257" s="95">
        <f t="shared" si="37"/>
        <v>300000</v>
      </c>
      <c r="AO257" s="94" t="b">
        <v>1</v>
      </c>
      <c r="AP257" s="34">
        <f t="shared" si="26"/>
        <v>352.6</v>
      </c>
      <c r="AQ257" s="23">
        <f t="shared" si="27"/>
        <v>1</v>
      </c>
      <c r="AR257" s="35" t="s">
        <v>48</v>
      </c>
      <c r="AW257" s="63" t="str">
        <f t="shared" si="28"/>
        <v>10:16:14</v>
      </c>
      <c r="AX257" s="152"/>
      <c r="AY257" s="160">
        <v>1</v>
      </c>
      <c r="AZ257" s="10"/>
      <c r="BA257" s="104" t="str">
        <f t="shared" si="29"/>
        <v>Б-СУХАРЕВСКАЯ-ПЛ-16/18С1</v>
      </c>
      <c r="BB257" s="86">
        <f>AP257*4+10*60</f>
        <v>2010.4</v>
      </c>
      <c r="BD257" s="123"/>
      <c r="BE257" s="117" t="s">
        <v>1315</v>
      </c>
      <c r="BF257" s="89" t="s">
        <v>1315</v>
      </c>
      <c r="BG257" s="89" t="s">
        <v>1315</v>
      </c>
      <c r="BH257" s="89" t="s">
        <v>1315</v>
      </c>
      <c r="BI257" s="89" t="s">
        <v>1315</v>
      </c>
      <c r="BJ257" s="89" t="s">
        <v>1315</v>
      </c>
      <c r="BK257" s="89">
        <v>-32.603333333333332</v>
      </c>
      <c r="BL257" s="1" t="s">
        <v>665</v>
      </c>
    </row>
    <row r="258" spans="3:64" ht="15" customHeight="1" x14ac:dyDescent="0.3">
      <c r="C258" s="1">
        <v>273</v>
      </c>
      <c r="D258" s="6">
        <v>736</v>
      </c>
      <c r="E258" s="6">
        <v>4736</v>
      </c>
      <c r="F258" s="1" t="s">
        <v>1519</v>
      </c>
      <c r="G258" s="8" t="s">
        <v>50</v>
      </c>
      <c r="H258" s="9">
        <v>4.2200000000000006</v>
      </c>
      <c r="I258" s="9">
        <v>2.4300000000000002</v>
      </c>
      <c r="J258" s="9" t="s">
        <v>1315</v>
      </c>
      <c r="K258" s="1" t="s">
        <v>1739</v>
      </c>
      <c r="M258" s="2" t="s">
        <v>1970</v>
      </c>
      <c r="N258" s="1">
        <v>1</v>
      </c>
      <c r="O258" s="1">
        <v>4</v>
      </c>
      <c r="P258" s="1" t="s">
        <v>51</v>
      </c>
      <c r="Q258" s="10" t="s">
        <v>1201</v>
      </c>
      <c r="R258" t="s">
        <v>2304</v>
      </c>
      <c r="S258" t="s">
        <v>2305</v>
      </c>
      <c r="T258">
        <v>89258254741</v>
      </c>
      <c r="U258" t="s">
        <v>2181</v>
      </c>
      <c r="V258" t="s">
        <v>2306</v>
      </c>
      <c r="W258">
        <v>9955446341</v>
      </c>
      <c r="X258" t="s">
        <v>2183</v>
      </c>
      <c r="Y258" t="s">
        <v>2118</v>
      </c>
      <c r="Z258" t="s">
        <v>2184</v>
      </c>
      <c r="AA258">
        <v>8</v>
      </c>
      <c r="AB258" s="6" t="s">
        <v>871</v>
      </c>
      <c r="AC258" s="2" t="s">
        <v>133</v>
      </c>
      <c r="AF258" s="14" t="s">
        <v>732</v>
      </c>
      <c r="AG258" s="5" t="s">
        <v>28</v>
      </c>
      <c r="AH258" s="5">
        <v>100</v>
      </c>
      <c r="AI258" s="6">
        <v>2</v>
      </c>
      <c r="AJ258" s="13" t="s">
        <v>1329</v>
      </c>
      <c r="AK258" s="142" t="str">
        <f>IF(AP258&gt;2000,"15:00",IF(AP258&lt;1000,"16:30","16:00"))</f>
        <v>16:30</v>
      </c>
      <c r="AL258" s="58" t="str">
        <f t="shared" si="25"/>
        <v>09:30 - 16:30</v>
      </c>
      <c r="AM258" s="151"/>
      <c r="AN258" s="95">
        <f t="shared" si="37"/>
        <v>300000</v>
      </c>
      <c r="AO258" s="94" t="b">
        <v>1</v>
      </c>
      <c r="AP258" s="34">
        <f t="shared" si="26"/>
        <v>133</v>
      </c>
      <c r="AQ258" s="23">
        <f t="shared" si="27"/>
        <v>1</v>
      </c>
      <c r="AR258" s="35" t="s">
        <v>48</v>
      </c>
      <c r="AW258" s="63" t="str">
        <f t="shared" si="28"/>
        <v>10:59:25</v>
      </c>
      <c r="AX258" s="152"/>
      <c r="AY258" s="160">
        <v>2</v>
      </c>
      <c r="AZ258" s="10"/>
      <c r="BA258" s="104" t="str">
        <f t="shared" si="29"/>
        <v>ГИЛЯРОВСКОГО-60К1</v>
      </c>
      <c r="BB258" s="70">
        <f>AP258*4.1+10*60</f>
        <v>1145.3</v>
      </c>
      <c r="BD258" s="123"/>
      <c r="BE258" s="117" t="s">
        <v>1315</v>
      </c>
      <c r="BF258" s="89">
        <v>18.308666666666674</v>
      </c>
      <c r="BG258" s="89" t="s">
        <v>1315</v>
      </c>
      <c r="BH258" s="89" t="s">
        <v>1315</v>
      </c>
      <c r="BI258" s="89" t="s">
        <v>1315</v>
      </c>
      <c r="BJ258" s="89" t="s">
        <v>1315</v>
      </c>
      <c r="BK258" s="89" t="s">
        <v>1315</v>
      </c>
      <c r="BL258" s="1" t="s">
        <v>132</v>
      </c>
    </row>
    <row r="259" spans="3:64" ht="15" customHeight="1" x14ac:dyDescent="0.3">
      <c r="C259" s="1">
        <v>359</v>
      </c>
      <c r="D259" s="6">
        <v>13</v>
      </c>
      <c r="E259" s="6">
        <v>7013</v>
      </c>
      <c r="F259" s="1" t="s">
        <v>1460</v>
      </c>
      <c r="G259" s="8" t="s">
        <v>50</v>
      </c>
      <c r="H259" s="9">
        <v>49.269999999999996</v>
      </c>
      <c r="I259" s="9">
        <v>17.55</v>
      </c>
      <c r="J259" s="9" t="s">
        <v>1315</v>
      </c>
      <c r="K259" s="1" t="s">
        <v>1739</v>
      </c>
      <c r="M259" s="2" t="s">
        <v>2004</v>
      </c>
      <c r="N259" s="1">
        <v>1</v>
      </c>
      <c r="O259" s="1">
        <v>5</v>
      </c>
      <c r="P259" s="1" t="s">
        <v>51</v>
      </c>
      <c r="Q259" s="10" t="s">
        <v>480</v>
      </c>
      <c r="R259" t="s">
        <v>2304</v>
      </c>
      <c r="S259" t="s">
        <v>2305</v>
      </c>
      <c r="T259">
        <v>89258254741</v>
      </c>
      <c r="U259" t="s">
        <v>2181</v>
      </c>
      <c r="V259" t="s">
        <v>2306</v>
      </c>
      <c r="W259">
        <v>9955446341</v>
      </c>
      <c r="X259" t="s">
        <v>2183</v>
      </c>
      <c r="Y259" t="s">
        <v>2118</v>
      </c>
      <c r="Z259" t="s">
        <v>2184</v>
      </c>
      <c r="AA259">
        <v>8</v>
      </c>
      <c r="AB259" s="6" t="s">
        <v>908</v>
      </c>
      <c r="AC259" s="2" t="s">
        <v>481</v>
      </c>
      <c r="AF259" s="14" t="s">
        <v>1679</v>
      </c>
      <c r="AH259" s="25"/>
      <c r="AI259" s="6">
        <v>2</v>
      </c>
      <c r="AJ259" s="13" t="s">
        <v>1329</v>
      </c>
      <c r="AK259" s="58">
        <v>0.5</v>
      </c>
      <c r="AL259" s="58" t="str">
        <f t="shared" si="25"/>
        <v>09:30 - 12:00</v>
      </c>
      <c r="AM259" s="151">
        <v>3</v>
      </c>
      <c r="AN259" s="96">
        <v>1000000</v>
      </c>
      <c r="AO259" s="94" t="b">
        <v>1</v>
      </c>
      <c r="AP259" s="34">
        <f t="shared" si="26"/>
        <v>1336.3999999999999</v>
      </c>
      <c r="AQ259" s="23">
        <f t="shared" si="27"/>
        <v>3</v>
      </c>
      <c r="AR259" s="35" t="s">
        <v>48</v>
      </c>
      <c r="AW259" s="63" t="str">
        <f t="shared" si="28"/>
        <v>11:31:20</v>
      </c>
      <c r="AX259" s="152"/>
      <c r="AY259" s="160">
        <v>1</v>
      </c>
      <c r="AZ259" s="10"/>
      <c r="BA259" s="104" t="str">
        <f t="shared" si="29"/>
        <v>БАКУНИНСКАЯ-23/41</v>
      </c>
      <c r="BB259" s="85">
        <f>AP259*2.5+10*60</f>
        <v>3940.9999999999995</v>
      </c>
      <c r="BD259" s="123"/>
      <c r="BE259" s="117" t="s">
        <v>1315</v>
      </c>
      <c r="BF259" s="89" t="s">
        <v>1315</v>
      </c>
      <c r="BG259" s="89">
        <v>-28.699999999999989</v>
      </c>
      <c r="BH259" s="89" t="s">
        <v>1315</v>
      </c>
      <c r="BI259" s="89" t="s">
        <v>1315</v>
      </c>
      <c r="BJ259" s="89">
        <v>47.875000000000007</v>
      </c>
      <c r="BK259" s="89" t="s">
        <v>1315</v>
      </c>
      <c r="BL259" s="1" t="s">
        <v>479</v>
      </c>
    </row>
    <row r="260" spans="3:64" ht="15" customHeight="1" x14ac:dyDescent="0.3">
      <c r="C260" s="1">
        <v>2</v>
      </c>
      <c r="D260" s="6">
        <v>674</v>
      </c>
      <c r="E260" s="6">
        <v>7674</v>
      </c>
      <c r="F260" s="66" t="s">
        <v>1366</v>
      </c>
      <c r="G260" s="8" t="s">
        <v>50</v>
      </c>
      <c r="H260" s="9">
        <v>58.860000000000014</v>
      </c>
      <c r="I260" s="9">
        <v>15.2</v>
      </c>
      <c r="J260" s="9" t="s">
        <v>1810</v>
      </c>
      <c r="K260" s="1" t="s">
        <v>1763</v>
      </c>
      <c r="M260" s="2" t="s">
        <v>1691</v>
      </c>
      <c r="N260" s="1">
        <v>1</v>
      </c>
      <c r="O260" s="1">
        <v>1</v>
      </c>
      <c r="P260" s="1" t="s">
        <v>51</v>
      </c>
      <c r="Q260" s="10" t="s">
        <v>210</v>
      </c>
      <c r="R260" t="s">
        <v>2307</v>
      </c>
      <c r="S260" t="s">
        <v>2308</v>
      </c>
      <c r="T260">
        <v>89966706177</v>
      </c>
      <c r="U260" t="s">
        <v>2181</v>
      </c>
      <c r="V260" t="s">
        <v>2309</v>
      </c>
      <c r="W260">
        <v>9949331944</v>
      </c>
      <c r="X260" t="s">
        <v>2183</v>
      </c>
      <c r="Y260" t="s">
        <v>2118</v>
      </c>
      <c r="Z260" t="s">
        <v>2184</v>
      </c>
      <c r="AA260">
        <v>8</v>
      </c>
      <c r="AB260" s="6" t="s">
        <v>741</v>
      </c>
      <c r="AC260" s="2" t="s">
        <v>211</v>
      </c>
      <c r="AF260" s="153" t="s">
        <v>1676</v>
      </c>
      <c r="AH260" s="25"/>
      <c r="AI260" s="6">
        <v>1</v>
      </c>
      <c r="AJ260" s="13" t="s">
        <v>1691</v>
      </c>
      <c r="AK260" s="58">
        <v>0.28125</v>
      </c>
      <c r="AL260" s="58" t="str">
        <f t="shared" si="25"/>
        <v>06:30 - 06:45</v>
      </c>
      <c r="AM260" s="151">
        <v>4</v>
      </c>
      <c r="AN260" s="95">
        <f t="shared" ref="AN260:AN266" si="38">IF(AP260&gt;1000,(AP260*320),300000)</f>
        <v>473984.00000000012</v>
      </c>
      <c r="AO260" s="94" t="b">
        <v>1</v>
      </c>
      <c r="AP260" s="34">
        <f t="shared" si="26"/>
        <v>1481.2000000000003</v>
      </c>
      <c r="AQ260" s="23">
        <f t="shared" si="27"/>
        <v>3</v>
      </c>
      <c r="AR260" s="35" t="s">
        <v>48</v>
      </c>
      <c r="AU260" s="46"/>
      <c r="AW260" s="63" t="str">
        <f t="shared" si="28"/>
        <v>06:30</v>
      </c>
      <c r="AX260" s="152"/>
      <c r="AY260" s="160">
        <v>1</v>
      </c>
      <c r="AZ260" s="10"/>
      <c r="BA260" s="104" t="str">
        <f t="shared" si="29"/>
        <v>БРАТИСЛАВСКАЯ-6</v>
      </c>
      <c r="BB260" s="85">
        <f>AP260*3+10*60</f>
        <v>5043.6000000000004</v>
      </c>
      <c r="BD260" s="123"/>
      <c r="BE260" s="117" t="s">
        <v>1315</v>
      </c>
      <c r="BF260" s="89">
        <v>-15.486666666666672</v>
      </c>
      <c r="BG260" s="89">
        <v>-17.236666666666668</v>
      </c>
      <c r="BH260" s="89">
        <v>58.836666666666666</v>
      </c>
      <c r="BI260" s="89" t="s">
        <v>1315</v>
      </c>
      <c r="BJ260" s="89" t="s">
        <v>1315</v>
      </c>
      <c r="BK260" s="89" t="s">
        <v>1315</v>
      </c>
      <c r="BL260" s="66" t="s">
        <v>209</v>
      </c>
    </row>
    <row r="261" spans="3:64" ht="15" customHeight="1" x14ac:dyDescent="0.3">
      <c r="C261" s="1">
        <v>524</v>
      </c>
      <c r="D261" s="6">
        <v>27</v>
      </c>
      <c r="E261" s="6">
        <v>7027</v>
      </c>
      <c r="F261" s="1" t="s">
        <v>1425</v>
      </c>
      <c r="G261" s="8" t="s">
        <v>50</v>
      </c>
      <c r="H261" s="9">
        <v>55.179999999999993</v>
      </c>
      <c r="I261" s="9">
        <v>7.39</v>
      </c>
      <c r="J261" s="9" t="s">
        <v>1315</v>
      </c>
      <c r="K261" s="1" t="s">
        <v>1763</v>
      </c>
      <c r="M261" s="2" t="s">
        <v>1984</v>
      </c>
      <c r="N261" s="1">
        <v>1</v>
      </c>
      <c r="O261" s="1">
        <v>2</v>
      </c>
      <c r="P261" s="1" t="s">
        <v>51</v>
      </c>
      <c r="Q261" s="10" t="s">
        <v>590</v>
      </c>
      <c r="R261" t="s">
        <v>2307</v>
      </c>
      <c r="S261" t="s">
        <v>2308</v>
      </c>
      <c r="T261">
        <v>89966706177</v>
      </c>
      <c r="U261" t="s">
        <v>2181</v>
      </c>
      <c r="V261" t="s">
        <v>2309</v>
      </c>
      <c r="W261">
        <v>9949331944</v>
      </c>
      <c r="X261" t="s">
        <v>2183</v>
      </c>
      <c r="Y261" t="s">
        <v>2118</v>
      </c>
      <c r="Z261" t="s">
        <v>2184</v>
      </c>
      <c r="AA261">
        <v>8</v>
      </c>
      <c r="AB261" s="6" t="s">
        <v>1118</v>
      </c>
      <c r="AC261" s="2" t="s">
        <v>591</v>
      </c>
      <c r="AF261" s="14" t="s">
        <v>732</v>
      </c>
      <c r="AG261" s="5" t="s">
        <v>28</v>
      </c>
      <c r="AH261" s="5">
        <v>100</v>
      </c>
      <c r="AI261" s="6">
        <v>2</v>
      </c>
      <c r="AJ261" s="13" t="s">
        <v>1327</v>
      </c>
      <c r="AK261" s="58">
        <v>0.45833333333333331</v>
      </c>
      <c r="AL261" s="58" t="str">
        <f t="shared" si="25"/>
        <v>08:30 - 11:00</v>
      </c>
      <c r="AM261" s="151"/>
      <c r="AN261" s="95">
        <f t="shared" si="38"/>
        <v>400447.99999999994</v>
      </c>
      <c r="AO261" s="94" t="b">
        <v>1</v>
      </c>
      <c r="AP261" s="34">
        <f t="shared" si="26"/>
        <v>1251.3999999999999</v>
      </c>
      <c r="AQ261" s="23">
        <f t="shared" si="27"/>
        <v>3</v>
      </c>
      <c r="AR261" s="35" t="s">
        <v>48</v>
      </c>
      <c r="AW261" s="63" t="str">
        <f t="shared" si="28"/>
        <v>08:37:40</v>
      </c>
      <c r="AX261" s="152"/>
      <c r="AY261" s="160">
        <v>1</v>
      </c>
      <c r="AZ261" s="10"/>
      <c r="BA261" s="104" t="str">
        <f t="shared" si="29"/>
        <v>РАБОЧАЯ-8</v>
      </c>
      <c r="BB261" s="86">
        <f>AP261*3.2+10*60</f>
        <v>4604.4799999999996</v>
      </c>
      <c r="BD261" s="123"/>
      <c r="BE261" s="117">
        <v>-33.304000000000002</v>
      </c>
      <c r="BF261" s="89" t="s">
        <v>1315</v>
      </c>
      <c r="BG261" s="89" t="s">
        <v>1315</v>
      </c>
      <c r="BH261" s="89" t="s">
        <v>1315</v>
      </c>
      <c r="BI261" s="89" t="s">
        <v>1315</v>
      </c>
      <c r="BJ261" s="89" t="s">
        <v>1315</v>
      </c>
      <c r="BK261" s="89" t="s">
        <v>1315</v>
      </c>
      <c r="BL261" s="1" t="s">
        <v>589</v>
      </c>
    </row>
    <row r="262" spans="3:64" ht="15" customHeight="1" x14ac:dyDescent="0.3">
      <c r="C262" s="1">
        <v>520</v>
      </c>
      <c r="D262" s="6">
        <v>33</v>
      </c>
      <c r="E262" s="6">
        <v>7033</v>
      </c>
      <c r="F262" s="1" t="s">
        <v>1601</v>
      </c>
      <c r="G262" s="8" t="s">
        <v>50</v>
      </c>
      <c r="H262" s="9">
        <v>10.79</v>
      </c>
      <c r="I262" s="9">
        <v>2.5499999999999998</v>
      </c>
      <c r="J262" s="9" t="s">
        <v>1315</v>
      </c>
      <c r="K262" s="1" t="s">
        <v>1763</v>
      </c>
      <c r="L262" s="2">
        <v>2</v>
      </c>
      <c r="M262" s="2" t="s">
        <v>2010</v>
      </c>
      <c r="N262" s="1">
        <v>1</v>
      </c>
      <c r="O262" s="1">
        <v>3</v>
      </c>
      <c r="P262" s="1" t="s">
        <v>51</v>
      </c>
      <c r="Q262" s="10" t="s">
        <v>189</v>
      </c>
      <c r="R262" t="s">
        <v>2307</v>
      </c>
      <c r="S262" t="s">
        <v>2308</v>
      </c>
      <c r="T262">
        <v>89966706177</v>
      </c>
      <c r="U262" t="s">
        <v>2181</v>
      </c>
      <c r="V262" t="s">
        <v>2309</v>
      </c>
      <c r="W262">
        <v>9949331944</v>
      </c>
      <c r="X262" t="s">
        <v>2183</v>
      </c>
      <c r="Y262" t="s">
        <v>2118</v>
      </c>
      <c r="Z262" t="s">
        <v>2184</v>
      </c>
      <c r="AA262">
        <v>8</v>
      </c>
      <c r="AB262" s="6" t="s">
        <v>1112</v>
      </c>
      <c r="AC262" s="2" t="s">
        <v>190</v>
      </c>
      <c r="AF262" s="14" t="s">
        <v>1110</v>
      </c>
      <c r="AG262" s="5" t="s">
        <v>28</v>
      </c>
      <c r="AH262" s="25">
        <v>100</v>
      </c>
      <c r="AI262" s="6">
        <v>2</v>
      </c>
      <c r="AJ262" s="13" t="s">
        <v>1329</v>
      </c>
      <c r="AK262" s="58">
        <v>0.54166666666666696</v>
      </c>
      <c r="AL262" s="58" t="str">
        <f t="shared" ref="AL262:AL303" si="39">CONCATENATE(TEXT(AJ262,"ЧЧ:ММ")," ","-"," ",TEXT(AK262,"ЧЧ:ММ"))</f>
        <v>09:30 - 13:00</v>
      </c>
      <c r="AM262" s="151"/>
      <c r="AN262" s="95">
        <f t="shared" si="38"/>
        <v>300000</v>
      </c>
      <c r="AO262" s="94" t="b">
        <v>1</v>
      </c>
      <c r="AP262" s="34">
        <f t="shared" ref="AP262:AP303" si="40">H262*20+I262*20</f>
        <v>266.79999999999995</v>
      </c>
      <c r="AQ262" s="23">
        <f t="shared" ref="AQ262:AQ303" si="41">IF(AP262&gt;520,ROUNDUP(((H262*20)/560+(I262*20)/550),0),IF(SUM(H262:I262)=0,0,IF(AP262&lt;255,1,ROUND(((H262*20)/520+(I262*20)/450),0))))</f>
        <v>1</v>
      </c>
      <c r="AR262" s="35" t="s">
        <v>48</v>
      </c>
      <c r="AW262" s="63" t="str">
        <f t="shared" ref="AW262:AW303" si="42">IF(TIMEVALUE(M262)&lt;TIMEVALUE(AJ262),AJ262,M262)</f>
        <v>10:07:03</v>
      </c>
      <c r="AX262" s="152"/>
      <c r="AY262" s="160">
        <v>1</v>
      </c>
      <c r="AZ262" s="10"/>
      <c r="BA262" s="104" t="str">
        <f t="shared" ref="BA262:BA303" si="43">F262</f>
        <v>ВОЛГОГРАДСКИЙ-ПР-Т-17С2</v>
      </c>
      <c r="BB262" s="86">
        <f>AP262*3.8+10*60</f>
        <v>1613.8399999999997</v>
      </c>
      <c r="BD262" s="123"/>
      <c r="BE262" s="117" t="s">
        <v>1315</v>
      </c>
      <c r="BF262" s="89" t="s">
        <v>1315</v>
      </c>
      <c r="BG262" s="89" t="s">
        <v>1315</v>
      </c>
      <c r="BH262" s="89" t="s">
        <v>1315</v>
      </c>
      <c r="BI262" s="89" t="s">
        <v>1315</v>
      </c>
      <c r="BJ262" s="89" t="s">
        <v>1315</v>
      </c>
      <c r="BK262" s="89" t="s">
        <v>1315</v>
      </c>
      <c r="BL262" s="1" t="s">
        <v>188</v>
      </c>
    </row>
    <row r="263" spans="3:64" ht="15" customHeight="1" x14ac:dyDescent="0.3">
      <c r="C263" s="1">
        <v>85</v>
      </c>
      <c r="D263" s="6">
        <v>25791</v>
      </c>
      <c r="E263" s="6">
        <v>4791</v>
      </c>
      <c r="F263" s="10" t="s">
        <v>1400</v>
      </c>
      <c r="G263" s="8" t="s">
        <v>43</v>
      </c>
      <c r="H263" s="9">
        <v>20.9</v>
      </c>
      <c r="I263" s="9">
        <v>21.12</v>
      </c>
      <c r="J263" s="9" t="s">
        <v>1833</v>
      </c>
      <c r="K263" s="1" t="s">
        <v>1698</v>
      </c>
      <c r="M263" s="2" t="s">
        <v>2084</v>
      </c>
      <c r="N263" s="1">
        <v>1</v>
      </c>
      <c r="O263" s="1">
        <v>1</v>
      </c>
      <c r="P263" s="1" t="s">
        <v>72</v>
      </c>
      <c r="Q263" s="10" t="s">
        <v>73</v>
      </c>
      <c r="R263" t="s">
        <v>2310</v>
      </c>
      <c r="S263" t="s">
        <v>2311</v>
      </c>
      <c r="T263">
        <v>89052446942</v>
      </c>
      <c r="U263" t="s">
        <v>2181</v>
      </c>
      <c r="V263" t="s">
        <v>2312</v>
      </c>
      <c r="W263">
        <v>9955580437</v>
      </c>
      <c r="X263" t="s">
        <v>2216</v>
      </c>
      <c r="Y263" t="s">
        <v>2118</v>
      </c>
      <c r="Z263" t="s">
        <v>2184</v>
      </c>
      <c r="AA263">
        <v>8</v>
      </c>
      <c r="AB263" s="6" t="s">
        <v>779</v>
      </c>
      <c r="AC263" s="2" t="s">
        <v>74</v>
      </c>
      <c r="AF263" s="171" t="s">
        <v>732</v>
      </c>
      <c r="AI263" s="6">
        <v>1</v>
      </c>
      <c r="AJ263" s="114" t="str">
        <f ca="1">IF((WEEKDAY(TODAY(),2))=6,"10:00","07:30")</f>
        <v>07:30</v>
      </c>
      <c r="AK263" s="107" t="str">
        <f ca="1">IF((WEEKDAY(TODAY(),2))=6,"16:00","09:00")</f>
        <v>09:00</v>
      </c>
      <c r="AL263" s="58" t="str">
        <f t="shared" ca="1" si="39"/>
        <v>07:30 - 09:00</v>
      </c>
      <c r="AM263" s="151">
        <v>5</v>
      </c>
      <c r="AN263" s="95">
        <f t="shared" si="38"/>
        <v>300000</v>
      </c>
      <c r="AO263" s="94" t="b">
        <v>1</v>
      </c>
      <c r="AP263" s="34">
        <f t="shared" si="40"/>
        <v>840.40000000000009</v>
      </c>
      <c r="AQ263" s="23">
        <f t="shared" si="41"/>
        <v>2</v>
      </c>
      <c r="AR263" s="35" t="s">
        <v>48</v>
      </c>
      <c r="AU263" s="46"/>
      <c r="AW263" s="63" t="str">
        <f t="shared" ca="1" si="42"/>
        <v>07:30</v>
      </c>
      <c r="AX263" s="10"/>
      <c r="AY263" s="160">
        <v>1</v>
      </c>
      <c r="AZ263" s="10"/>
      <c r="BA263" s="104" t="str">
        <f t="shared" si="43"/>
        <v>БОБРОВО-ЛЕСНАЯ-24</v>
      </c>
      <c r="BB263" s="85">
        <f>AP263*3.5+10*60</f>
        <v>3541.4000000000005</v>
      </c>
      <c r="BD263" s="123"/>
      <c r="BE263" s="117">
        <v>3.2883333333333411</v>
      </c>
      <c r="BF263" s="89" t="s">
        <v>1315</v>
      </c>
      <c r="BG263" s="89" t="s">
        <v>1315</v>
      </c>
      <c r="BH263" s="89" t="s">
        <v>1315</v>
      </c>
      <c r="BI263" s="89" t="s">
        <v>1315</v>
      </c>
      <c r="BJ263" s="89" t="s">
        <v>1315</v>
      </c>
      <c r="BK263" s="89" t="s">
        <v>1315</v>
      </c>
      <c r="BL263" s="10" t="s">
        <v>1349</v>
      </c>
    </row>
    <row r="264" spans="3:64" ht="15" customHeight="1" x14ac:dyDescent="0.3">
      <c r="C264" s="1">
        <v>34</v>
      </c>
      <c r="D264" s="6">
        <v>25890</v>
      </c>
      <c r="E264" s="6">
        <v>4890</v>
      </c>
      <c r="F264" s="10" t="s">
        <v>1377</v>
      </c>
      <c r="G264" s="8" t="s">
        <v>43</v>
      </c>
      <c r="H264" s="9">
        <v>24.06</v>
      </c>
      <c r="I264" s="9">
        <v>14.84</v>
      </c>
      <c r="J264" s="9" t="s">
        <v>1315</v>
      </c>
      <c r="K264" s="1" t="s">
        <v>1698</v>
      </c>
      <c r="M264" s="2" t="s">
        <v>1329</v>
      </c>
      <c r="N264" s="1">
        <v>1</v>
      </c>
      <c r="O264" s="1">
        <v>2</v>
      </c>
      <c r="P264" s="1" t="s">
        <v>236</v>
      </c>
      <c r="Q264" s="10" t="s">
        <v>237</v>
      </c>
      <c r="R264" t="s">
        <v>2310</v>
      </c>
      <c r="S264" t="s">
        <v>2311</v>
      </c>
      <c r="T264">
        <v>89052446942</v>
      </c>
      <c r="U264" t="s">
        <v>2181</v>
      </c>
      <c r="V264" t="s">
        <v>2312</v>
      </c>
      <c r="W264">
        <v>9955580437</v>
      </c>
      <c r="X264" t="s">
        <v>2216</v>
      </c>
      <c r="Y264" t="s">
        <v>2118</v>
      </c>
      <c r="Z264" t="s">
        <v>2184</v>
      </c>
      <c r="AA264">
        <v>8</v>
      </c>
      <c r="AB264" s="6" t="s">
        <v>753</v>
      </c>
      <c r="AC264" s="2" t="s">
        <v>238</v>
      </c>
      <c r="AF264" s="155" t="s">
        <v>732</v>
      </c>
      <c r="AI264" s="6">
        <v>2</v>
      </c>
      <c r="AJ264" s="114" t="str">
        <f ca="1">IF((WEEKDAY(TODAY(),2))=6,"10:00","09:30")</f>
        <v>09:30</v>
      </c>
      <c r="AK264" s="58">
        <v>0.54166666666666696</v>
      </c>
      <c r="AL264" s="58" t="str">
        <f t="shared" ca="1" si="39"/>
        <v>09:30 - 13:00</v>
      </c>
      <c r="AM264" s="151">
        <v>4</v>
      </c>
      <c r="AN264" s="95">
        <f t="shared" si="38"/>
        <v>300000</v>
      </c>
      <c r="AO264" s="94" t="b">
        <v>1</v>
      </c>
      <c r="AP264" s="34">
        <f t="shared" si="40"/>
        <v>778</v>
      </c>
      <c r="AQ264" s="23">
        <f t="shared" si="41"/>
        <v>2</v>
      </c>
      <c r="AR264" s="35" t="s">
        <v>48</v>
      </c>
      <c r="AU264" s="46"/>
      <c r="AW264" s="63" t="str">
        <f t="shared" ca="1" si="42"/>
        <v>09:30</v>
      </c>
      <c r="AX264" s="10"/>
      <c r="AY264" s="160">
        <v>1</v>
      </c>
      <c r="AZ264" s="10"/>
      <c r="BA264" s="104" t="str">
        <f t="shared" si="43"/>
        <v>ЛЮБЕРЦЫ-КИРОВА-9К2</v>
      </c>
      <c r="BB264" s="87">
        <f>AP264*3.5+10*60</f>
        <v>3323</v>
      </c>
      <c r="BD264" s="123"/>
      <c r="BE264" s="117" t="s">
        <v>1315</v>
      </c>
      <c r="BF264" s="89" t="s">
        <v>1315</v>
      </c>
      <c r="BG264" s="89" t="s">
        <v>1315</v>
      </c>
      <c r="BH264" s="89">
        <v>-21.798333333333325</v>
      </c>
      <c r="BI264" s="89" t="s">
        <v>1315</v>
      </c>
      <c r="BJ264" s="89" t="s">
        <v>1315</v>
      </c>
      <c r="BK264" s="89" t="s">
        <v>1315</v>
      </c>
      <c r="BL264" s="10" t="s">
        <v>235</v>
      </c>
    </row>
    <row r="265" spans="3:64" ht="15" customHeight="1" x14ac:dyDescent="0.3">
      <c r="C265" s="1">
        <v>540</v>
      </c>
      <c r="D265" s="6">
        <v>25830</v>
      </c>
      <c r="E265" s="6">
        <v>4830</v>
      </c>
      <c r="F265" s="37" t="s">
        <v>1603</v>
      </c>
      <c r="G265" s="8" t="s">
        <v>43</v>
      </c>
      <c r="H265" s="9">
        <v>45.930000000000007</v>
      </c>
      <c r="I265" s="9">
        <v>22.3</v>
      </c>
      <c r="J265" s="9" t="s">
        <v>1315</v>
      </c>
      <c r="K265" s="1" t="s">
        <v>1698</v>
      </c>
      <c r="M265" s="2" t="s">
        <v>1989</v>
      </c>
      <c r="N265" s="1">
        <v>1</v>
      </c>
      <c r="O265" s="1">
        <v>3</v>
      </c>
      <c r="P265" s="1" t="s">
        <v>596</v>
      </c>
      <c r="Q265" s="10" t="s">
        <v>597</v>
      </c>
      <c r="R265" t="s">
        <v>2310</v>
      </c>
      <c r="S265" t="s">
        <v>2311</v>
      </c>
      <c r="T265">
        <v>89052446942</v>
      </c>
      <c r="U265" t="s">
        <v>2181</v>
      </c>
      <c r="V265" t="s">
        <v>2312</v>
      </c>
      <c r="W265">
        <v>9955580437</v>
      </c>
      <c r="X265" t="s">
        <v>2216</v>
      </c>
      <c r="Y265" t="s">
        <v>2118</v>
      </c>
      <c r="Z265" t="s">
        <v>2184</v>
      </c>
      <c r="AA265">
        <v>8</v>
      </c>
      <c r="AB265" s="6" t="s">
        <v>1137</v>
      </c>
      <c r="AC265" s="2" t="s">
        <v>598</v>
      </c>
      <c r="AF265" s="14" t="s">
        <v>732</v>
      </c>
      <c r="AI265" s="6">
        <v>2</v>
      </c>
      <c r="AJ265" s="114" t="str">
        <f ca="1">IF((WEEKDAY(TODAY(),2))=6,"10:00","09:00")</f>
        <v>09:00</v>
      </c>
      <c r="AK265" s="58">
        <v>0.54166666666666696</v>
      </c>
      <c r="AL265" s="58" t="str">
        <f t="shared" ca="1" si="39"/>
        <v>09:00 - 13:00</v>
      </c>
      <c r="AM265" s="151">
        <v>3</v>
      </c>
      <c r="AN265" s="95">
        <f t="shared" si="38"/>
        <v>436672.00000000006</v>
      </c>
      <c r="AO265" s="94" t="b">
        <v>1</v>
      </c>
      <c r="AP265" s="34">
        <f t="shared" si="40"/>
        <v>1364.6000000000001</v>
      </c>
      <c r="AQ265" s="23">
        <f t="shared" si="41"/>
        <v>3</v>
      </c>
      <c r="AR265" s="35" t="s">
        <v>48</v>
      </c>
      <c r="AW265" s="63" t="str">
        <f t="shared" ca="1" si="42"/>
        <v>10:54:53</v>
      </c>
      <c r="AX265" s="10"/>
      <c r="AY265" s="160">
        <v>1</v>
      </c>
      <c r="AZ265" s="10"/>
      <c r="BA265" s="104" t="str">
        <f t="shared" si="43"/>
        <v>РЕУТОВ-ЛЕНИНА-4</v>
      </c>
      <c r="BB265" s="52">
        <f>AP265*3.7+10*60</f>
        <v>5649.02</v>
      </c>
      <c r="BD265" s="123"/>
      <c r="BE265" s="117">
        <v>-6.6069999999999993</v>
      </c>
      <c r="BF265" s="89" t="s">
        <v>1315</v>
      </c>
      <c r="BG265" s="89">
        <v>-32.656333333333322</v>
      </c>
      <c r="BH265" s="89">
        <v>-28.698333333333331</v>
      </c>
      <c r="BI265" s="89" t="s">
        <v>1315</v>
      </c>
      <c r="BJ265" s="89">
        <v>30.772666666666694</v>
      </c>
      <c r="BK265" s="89" t="s">
        <v>1315</v>
      </c>
      <c r="BL265" s="37" t="s">
        <v>595</v>
      </c>
    </row>
    <row r="266" spans="3:64" ht="15" customHeight="1" x14ac:dyDescent="0.3">
      <c r="C266" s="1">
        <v>301</v>
      </c>
      <c r="D266" s="6">
        <v>50798</v>
      </c>
      <c r="E266" s="6">
        <v>4798</v>
      </c>
      <c r="F266" s="36" t="s">
        <v>1526</v>
      </c>
      <c r="G266" s="8" t="s">
        <v>43</v>
      </c>
      <c r="H266" s="9">
        <v>10.52</v>
      </c>
      <c r="I266" s="9">
        <v>4.92</v>
      </c>
      <c r="J266" s="9" t="s">
        <v>1834</v>
      </c>
      <c r="K266" s="1" t="s">
        <v>1774</v>
      </c>
      <c r="M266" s="2" t="s">
        <v>1328</v>
      </c>
      <c r="N266" s="1">
        <v>1</v>
      </c>
      <c r="O266" s="1">
        <v>1</v>
      </c>
      <c r="P266" s="1" t="s">
        <v>149</v>
      </c>
      <c r="Q266" s="10" t="s">
        <v>420</v>
      </c>
      <c r="R266" t="s">
        <v>2313</v>
      </c>
      <c r="S266" t="s">
        <v>2314</v>
      </c>
      <c r="T266">
        <v>89771418703</v>
      </c>
      <c r="U266" t="s">
        <v>2181</v>
      </c>
      <c r="V266" t="s">
        <v>2315</v>
      </c>
      <c r="W266">
        <v>9955446523</v>
      </c>
      <c r="X266" t="s">
        <v>2183</v>
      </c>
      <c r="Y266" t="s">
        <v>2118</v>
      </c>
      <c r="Z266" t="s">
        <v>2184</v>
      </c>
      <c r="AA266">
        <v>8</v>
      </c>
      <c r="AB266" s="6" t="s">
        <v>882</v>
      </c>
      <c r="AC266" s="2" t="s">
        <v>421</v>
      </c>
      <c r="AF266" s="53" t="s">
        <v>1672</v>
      </c>
      <c r="AI266" s="6">
        <v>2</v>
      </c>
      <c r="AJ266" s="114" t="str">
        <f ca="1">IF((WEEKDAY(TODAY(),2))=6,"10:00","09:00")</f>
        <v>09:00</v>
      </c>
      <c r="AK266" s="58">
        <v>0.54166666666666696</v>
      </c>
      <c r="AL266" s="58" t="str">
        <f t="shared" ca="1" si="39"/>
        <v>09:00 - 13:00</v>
      </c>
      <c r="AM266" s="151">
        <v>1</v>
      </c>
      <c r="AN266" s="95">
        <f t="shared" si="38"/>
        <v>300000</v>
      </c>
      <c r="AO266" s="94" t="b">
        <v>1</v>
      </c>
      <c r="AP266" s="34">
        <f t="shared" si="40"/>
        <v>308.79999999999995</v>
      </c>
      <c r="AQ266" s="23">
        <f t="shared" si="41"/>
        <v>1</v>
      </c>
      <c r="AR266" s="35" t="s">
        <v>48</v>
      </c>
      <c r="AW266" s="63" t="str">
        <f t="shared" ca="1" si="42"/>
        <v>09:00</v>
      </c>
      <c r="AX266" s="173"/>
      <c r="AY266" s="160">
        <v>1</v>
      </c>
      <c r="AZ266" s="10"/>
      <c r="BA266" s="104" t="str">
        <f t="shared" si="43"/>
        <v>ХИМКИ-СОВХОЗНАЯ-16</v>
      </c>
      <c r="BB266" s="87">
        <f>AP266*3.5+10*60</f>
        <v>1680.7999999999997</v>
      </c>
      <c r="BD266" s="123"/>
      <c r="BE266" s="117" t="s">
        <v>1315</v>
      </c>
      <c r="BF266" s="89">
        <v>-41.198333333333323</v>
      </c>
      <c r="BG266" s="89" t="s">
        <v>1315</v>
      </c>
      <c r="BH266" s="89">
        <v>40.20333333333334</v>
      </c>
      <c r="BI266" s="89">
        <v>-41.2</v>
      </c>
      <c r="BJ266" s="89" t="s">
        <v>1315</v>
      </c>
      <c r="BK266" s="89">
        <v>7.8383333333333383</v>
      </c>
      <c r="BL266" s="36" t="s">
        <v>419</v>
      </c>
    </row>
    <row r="267" spans="3:64" ht="15" customHeight="1" x14ac:dyDescent="0.3">
      <c r="C267" s="1">
        <v>162</v>
      </c>
      <c r="D267" s="6">
        <v>25894</v>
      </c>
      <c r="E267" s="6">
        <v>4894</v>
      </c>
      <c r="F267" s="68" t="s">
        <v>1484</v>
      </c>
      <c r="G267" s="136">
        <v>305</v>
      </c>
      <c r="H267" s="9">
        <v>52.92</v>
      </c>
      <c r="I267" s="9">
        <v>22</v>
      </c>
      <c r="J267" s="9" t="s">
        <v>1315</v>
      </c>
      <c r="K267" s="1" t="s">
        <v>1774</v>
      </c>
      <c r="L267" s="60" t="s">
        <v>1255</v>
      </c>
      <c r="M267" s="2" t="s">
        <v>2051</v>
      </c>
      <c r="N267" s="1">
        <v>1</v>
      </c>
      <c r="O267" s="1">
        <v>2</v>
      </c>
      <c r="P267" s="1" t="s">
        <v>346</v>
      </c>
      <c r="Q267" s="10" t="s">
        <v>349</v>
      </c>
      <c r="R267" t="s">
        <v>2313</v>
      </c>
      <c r="S267" t="s">
        <v>2314</v>
      </c>
      <c r="T267">
        <v>89771418703</v>
      </c>
      <c r="U267" t="s">
        <v>2181</v>
      </c>
      <c r="V267" t="s">
        <v>2315</v>
      </c>
      <c r="W267">
        <v>9955446523</v>
      </c>
      <c r="X267" t="s">
        <v>2183</v>
      </c>
      <c r="Y267" t="s">
        <v>2118</v>
      </c>
      <c r="Z267" t="s">
        <v>2184</v>
      </c>
      <c r="AA267">
        <v>8</v>
      </c>
      <c r="AB267" s="6" t="s">
        <v>823</v>
      </c>
      <c r="AC267" s="2" t="s">
        <v>720</v>
      </c>
      <c r="AD267" s="48" t="s">
        <v>1149</v>
      </c>
      <c r="AE267" s="48" t="s">
        <v>1150</v>
      </c>
      <c r="AF267" s="156" t="s">
        <v>1682</v>
      </c>
      <c r="AI267" s="6">
        <v>2</v>
      </c>
      <c r="AJ267" s="114" t="str">
        <f ca="1">IF((WEEKDAY(TODAY(),2))=6,"10:00","09:30")</f>
        <v>09:30</v>
      </c>
      <c r="AK267" s="174">
        <v>0.58333333333333337</v>
      </c>
      <c r="AL267" s="58" t="str">
        <f t="shared" ca="1" si="39"/>
        <v>09:30 - 14:00</v>
      </c>
      <c r="AM267" s="151">
        <v>2</v>
      </c>
      <c r="AN267" s="96">
        <v>1000000</v>
      </c>
      <c r="AO267" s="94" t="b">
        <v>1</v>
      </c>
      <c r="AP267" s="34">
        <f t="shared" si="40"/>
        <v>1498.4</v>
      </c>
      <c r="AQ267" s="23">
        <f t="shared" si="41"/>
        <v>3</v>
      </c>
      <c r="AR267" s="35" t="s">
        <v>48</v>
      </c>
      <c r="AU267" s="46"/>
      <c r="AW267" s="63" t="str">
        <f t="shared" ca="1" si="42"/>
        <v>11:48:14</v>
      </c>
      <c r="AX267" s="173"/>
      <c r="AY267" s="160">
        <v>2</v>
      </c>
      <c r="AZ267" s="10"/>
      <c r="BA267" s="104" t="str">
        <f t="shared" si="43"/>
        <v>ДУБНА-БОГОЛЮБОВА-45</v>
      </c>
      <c r="BB267" s="85">
        <f>AP267*3+10*60</f>
        <v>5095.2000000000007</v>
      </c>
      <c r="BD267" s="123"/>
      <c r="BE267" s="117" t="s">
        <v>1315</v>
      </c>
      <c r="BF267" s="89" t="s">
        <v>1315</v>
      </c>
      <c r="BG267" s="89">
        <v>-5.6933333333332996</v>
      </c>
      <c r="BH267" s="89" t="s">
        <v>1315</v>
      </c>
      <c r="BI267" s="89">
        <v>-3.3233333333333341</v>
      </c>
      <c r="BJ267" s="89" t="s">
        <v>1315</v>
      </c>
      <c r="BK267" s="89" t="s">
        <v>1315</v>
      </c>
      <c r="BL267" s="68" t="s">
        <v>348</v>
      </c>
    </row>
    <row r="268" spans="3:64" ht="15" customHeight="1" x14ac:dyDescent="0.3">
      <c r="C268" s="1">
        <v>161</v>
      </c>
      <c r="D268" s="6">
        <v>25710</v>
      </c>
      <c r="E268" s="6">
        <v>4710</v>
      </c>
      <c r="F268" s="68" t="s">
        <v>1483</v>
      </c>
      <c r="G268" s="136">
        <v>305</v>
      </c>
      <c r="H268" s="9">
        <v>35.36</v>
      </c>
      <c r="I268" s="9">
        <v>18</v>
      </c>
      <c r="J268" s="9" t="s">
        <v>1315</v>
      </c>
      <c r="K268" s="1" t="s">
        <v>1774</v>
      </c>
      <c r="L268" s="60" t="s">
        <v>1255</v>
      </c>
      <c r="M268" s="2" t="s">
        <v>2052</v>
      </c>
      <c r="N268" s="1">
        <v>1</v>
      </c>
      <c r="O268" s="1">
        <v>3</v>
      </c>
      <c r="P268" s="1" t="s">
        <v>346</v>
      </c>
      <c r="Q268" s="10" t="s">
        <v>347</v>
      </c>
      <c r="R268" t="s">
        <v>2313</v>
      </c>
      <c r="S268" t="s">
        <v>2314</v>
      </c>
      <c r="T268">
        <v>89771418703</v>
      </c>
      <c r="U268" t="s">
        <v>2181</v>
      </c>
      <c r="V268" t="s">
        <v>2315</v>
      </c>
      <c r="W268">
        <v>9955446523</v>
      </c>
      <c r="X268" t="s">
        <v>2183</v>
      </c>
      <c r="Y268" t="s">
        <v>2118</v>
      </c>
      <c r="Z268" t="s">
        <v>2184</v>
      </c>
      <c r="AA268">
        <v>8</v>
      </c>
      <c r="AB268" s="6" t="s">
        <v>822</v>
      </c>
      <c r="AC268" s="2" t="s">
        <v>721</v>
      </c>
      <c r="AD268" s="48" t="s">
        <v>1147</v>
      </c>
      <c r="AE268" s="48" t="s">
        <v>1148</v>
      </c>
      <c r="AF268" s="53" t="s">
        <v>1680</v>
      </c>
      <c r="AI268" s="6">
        <v>2</v>
      </c>
      <c r="AJ268" s="114" t="str">
        <f ca="1">IF((WEEKDAY(TODAY(),2))=6,"10:00","09:30")</f>
        <v>09:30</v>
      </c>
      <c r="AK268" s="174">
        <v>0.58333333333333337</v>
      </c>
      <c r="AL268" s="58" t="str">
        <f t="shared" ca="1" si="39"/>
        <v>09:30 - 14:00</v>
      </c>
      <c r="AM268" s="151">
        <v>2</v>
      </c>
      <c r="AN268" s="96">
        <v>1000000</v>
      </c>
      <c r="AO268" s="94" t="b">
        <v>1</v>
      </c>
      <c r="AP268" s="34">
        <f t="shared" si="40"/>
        <v>1067.2</v>
      </c>
      <c r="AQ268" s="23">
        <f t="shared" si="41"/>
        <v>2</v>
      </c>
      <c r="AR268" s="35" t="s">
        <v>48</v>
      </c>
      <c r="AU268" s="46"/>
      <c r="AW268" s="63" t="str">
        <f t="shared" ca="1" si="42"/>
        <v>13:18:29</v>
      </c>
      <c r="AX268" s="173"/>
      <c r="AY268" s="160">
        <v>2</v>
      </c>
      <c r="AZ268" s="10"/>
      <c r="BA268" s="104" t="str">
        <f t="shared" si="43"/>
        <v>ДУБНА-БОГОЛЮБОВА-17</v>
      </c>
      <c r="BB268" s="85">
        <f>AP268*3+10*60</f>
        <v>3801.6000000000004</v>
      </c>
      <c r="BD268" s="123"/>
      <c r="BE268" s="117" t="s">
        <v>1315</v>
      </c>
      <c r="BF268" s="89" t="s">
        <v>1315</v>
      </c>
      <c r="BG268" s="89">
        <v>-15.756666666666668</v>
      </c>
      <c r="BH268" s="89">
        <v>-17.849999999999994</v>
      </c>
      <c r="BI268" s="89">
        <v>-11.886666666666667</v>
      </c>
      <c r="BJ268" s="89" t="s">
        <v>1315</v>
      </c>
      <c r="BK268" s="89" t="s">
        <v>1315</v>
      </c>
      <c r="BL268" s="68" t="s">
        <v>345</v>
      </c>
    </row>
    <row r="269" spans="3:64" ht="15" customHeight="1" x14ac:dyDescent="0.3">
      <c r="C269" s="1">
        <v>118</v>
      </c>
      <c r="D269" s="6">
        <v>663</v>
      </c>
      <c r="E269" s="6">
        <v>7663</v>
      </c>
      <c r="F269" s="1" t="s">
        <v>1471</v>
      </c>
      <c r="G269" s="8" t="s">
        <v>50</v>
      </c>
      <c r="H269" s="9">
        <v>12.09</v>
      </c>
      <c r="I269" s="9">
        <v>3.97</v>
      </c>
      <c r="J269" s="9" t="s">
        <v>1808</v>
      </c>
      <c r="K269" s="1" t="s">
        <v>1756</v>
      </c>
      <c r="M269" s="2" t="s">
        <v>1326</v>
      </c>
      <c r="N269" s="1">
        <v>1</v>
      </c>
      <c r="O269" s="1">
        <v>1</v>
      </c>
      <c r="P269" s="1" t="s">
        <v>51</v>
      </c>
      <c r="Q269" s="1" t="s">
        <v>307</v>
      </c>
      <c r="R269" t="s">
        <v>2316</v>
      </c>
      <c r="S269" t="s">
        <v>2317</v>
      </c>
      <c r="T269">
        <v>89320130202</v>
      </c>
      <c r="U269" t="s">
        <v>2181</v>
      </c>
      <c r="V269" t="s">
        <v>2318</v>
      </c>
      <c r="W269">
        <v>9955447689</v>
      </c>
      <c r="X269" t="s">
        <v>2183</v>
      </c>
      <c r="Y269" t="s">
        <v>2118</v>
      </c>
      <c r="Z269" t="s">
        <v>2184</v>
      </c>
      <c r="AA269">
        <v>8</v>
      </c>
      <c r="AB269" s="6" t="s">
        <v>798</v>
      </c>
      <c r="AC269" s="2" t="s">
        <v>308</v>
      </c>
      <c r="AF269" s="171" t="s">
        <v>732</v>
      </c>
      <c r="AI269" s="6">
        <v>1</v>
      </c>
      <c r="AJ269" s="13" t="s">
        <v>1326</v>
      </c>
      <c r="AK269" s="58">
        <v>0.35416666666666669</v>
      </c>
      <c r="AL269" s="58" t="str">
        <f t="shared" si="39"/>
        <v>08:00 - 08:30</v>
      </c>
      <c r="AM269" s="151">
        <v>5</v>
      </c>
      <c r="AN269" s="95">
        <f t="shared" ref="AN269:AN303" si="44">IF(AP269&gt;1000,(AP269*320),300000)</f>
        <v>300000</v>
      </c>
      <c r="AO269" s="94" t="b">
        <v>1</v>
      </c>
      <c r="AP269" s="34">
        <f t="shared" si="40"/>
        <v>321.20000000000005</v>
      </c>
      <c r="AQ269" s="23">
        <f t="shared" si="41"/>
        <v>1</v>
      </c>
      <c r="AR269" s="35" t="s">
        <v>48</v>
      </c>
      <c r="AU269" s="46"/>
      <c r="AW269" s="63" t="str">
        <f t="shared" si="42"/>
        <v>08:00</v>
      </c>
      <c r="AX269" s="10"/>
      <c r="AY269" s="160">
        <v>1</v>
      </c>
      <c r="AZ269" s="10"/>
      <c r="BA269" s="104" t="str">
        <f t="shared" si="43"/>
        <v>ЧОНГАРСКИЙ-Б-Р-10К1</v>
      </c>
      <c r="BB269" s="85">
        <f>AP269*2.8+10*60</f>
        <v>1499.3600000000001</v>
      </c>
      <c r="BD269" s="123"/>
      <c r="BE269" s="117" t="s">
        <v>1315</v>
      </c>
      <c r="BF269" s="89">
        <v>-45.992666666666672</v>
      </c>
      <c r="BG269" s="89" t="s">
        <v>1315</v>
      </c>
      <c r="BH269" s="89" t="s">
        <v>1315</v>
      </c>
      <c r="BI269" s="89" t="s">
        <v>1315</v>
      </c>
      <c r="BJ269" s="89" t="s">
        <v>1315</v>
      </c>
      <c r="BK269" s="89" t="s">
        <v>1315</v>
      </c>
      <c r="BL269" s="1" t="s">
        <v>306</v>
      </c>
    </row>
    <row r="270" spans="3:64" ht="15" customHeight="1" x14ac:dyDescent="0.3">
      <c r="C270" s="1">
        <v>21</v>
      </c>
      <c r="D270" s="6">
        <v>7019</v>
      </c>
      <c r="E270" s="6">
        <v>4019</v>
      </c>
      <c r="F270" s="36" t="s">
        <v>1373</v>
      </c>
      <c r="G270" s="8" t="s">
        <v>50</v>
      </c>
      <c r="H270" s="9">
        <v>40.67</v>
      </c>
      <c r="I270" s="9">
        <v>9.68</v>
      </c>
      <c r="J270" s="9" t="s">
        <v>1315</v>
      </c>
      <c r="K270" s="1" t="s">
        <v>1756</v>
      </c>
      <c r="M270" s="2" t="s">
        <v>1328</v>
      </c>
      <c r="N270" s="1">
        <v>1</v>
      </c>
      <c r="O270" s="1">
        <v>2</v>
      </c>
      <c r="P270" s="1" t="s">
        <v>51</v>
      </c>
      <c r="Q270" s="1" t="s">
        <v>231</v>
      </c>
      <c r="R270" t="s">
        <v>2316</v>
      </c>
      <c r="S270" t="s">
        <v>2317</v>
      </c>
      <c r="T270">
        <v>89320130202</v>
      </c>
      <c r="U270" t="s">
        <v>2181</v>
      </c>
      <c r="V270" t="s">
        <v>2318</v>
      </c>
      <c r="W270">
        <v>9955447689</v>
      </c>
      <c r="X270" t="s">
        <v>2183</v>
      </c>
      <c r="Y270" t="s">
        <v>2118</v>
      </c>
      <c r="Z270" t="s">
        <v>2184</v>
      </c>
      <c r="AA270">
        <v>8</v>
      </c>
      <c r="AB270" s="6" t="s">
        <v>749</v>
      </c>
      <c r="AC270" s="2" t="s">
        <v>232</v>
      </c>
      <c r="AF270" s="14" t="s">
        <v>732</v>
      </c>
      <c r="AI270" s="6">
        <v>2</v>
      </c>
      <c r="AJ270" s="13" t="s">
        <v>1328</v>
      </c>
      <c r="AK270" s="58">
        <v>0.54166666666666696</v>
      </c>
      <c r="AL270" s="58" t="str">
        <f t="shared" si="39"/>
        <v>09:00 - 13:00</v>
      </c>
      <c r="AM270" s="151">
        <v>5</v>
      </c>
      <c r="AN270" s="95">
        <f t="shared" si="44"/>
        <v>322240.00000000006</v>
      </c>
      <c r="AO270" s="94" t="b">
        <v>1</v>
      </c>
      <c r="AP270" s="34">
        <f t="shared" si="40"/>
        <v>1007.0000000000001</v>
      </c>
      <c r="AQ270" s="23">
        <f t="shared" si="41"/>
        <v>2</v>
      </c>
      <c r="AR270" s="35" t="s">
        <v>48</v>
      </c>
      <c r="AU270" s="46"/>
      <c r="AW270" s="63" t="str">
        <f t="shared" si="42"/>
        <v>09:00</v>
      </c>
      <c r="AX270" s="10"/>
      <c r="AY270" s="160">
        <v>1</v>
      </c>
      <c r="AZ270" s="10"/>
      <c r="BA270" s="104" t="str">
        <f t="shared" si="43"/>
        <v>КАШИРСКОЕ-Ш-26К2</v>
      </c>
      <c r="BB270" s="87">
        <f>AP270*3.4+10*60</f>
        <v>4023.8</v>
      </c>
      <c r="BD270" s="123"/>
      <c r="BE270" s="117" t="s">
        <v>1315</v>
      </c>
      <c r="BF270" s="89" t="s">
        <v>1315</v>
      </c>
      <c r="BG270" s="89" t="s">
        <v>1315</v>
      </c>
      <c r="BH270" s="89">
        <v>-28.304666666666666</v>
      </c>
      <c r="BI270" s="89" t="s">
        <v>1315</v>
      </c>
      <c r="BJ270" s="89" t="s">
        <v>1315</v>
      </c>
      <c r="BK270" s="89" t="s">
        <v>1315</v>
      </c>
      <c r="BL270" s="36" t="s">
        <v>230</v>
      </c>
    </row>
    <row r="271" spans="3:64" ht="15" customHeight="1" x14ac:dyDescent="0.3">
      <c r="C271" s="1">
        <v>39</v>
      </c>
      <c r="D271" s="6">
        <v>65831</v>
      </c>
      <c r="E271" s="6">
        <v>4831</v>
      </c>
      <c r="F271" s="1" t="s">
        <v>1379</v>
      </c>
      <c r="G271" s="8" t="s">
        <v>43</v>
      </c>
      <c r="H271" s="9">
        <v>13.16</v>
      </c>
      <c r="I271" s="9">
        <v>2.88</v>
      </c>
      <c r="J271" s="9" t="s">
        <v>1315</v>
      </c>
      <c r="K271" s="1" t="s">
        <v>1756</v>
      </c>
      <c r="M271" s="2" t="s">
        <v>1966</v>
      </c>
      <c r="N271" s="1">
        <v>1</v>
      </c>
      <c r="O271" s="1">
        <v>3</v>
      </c>
      <c r="P271" s="1" t="s">
        <v>243</v>
      </c>
      <c r="Q271" s="10" t="s">
        <v>244</v>
      </c>
      <c r="R271" t="s">
        <v>2316</v>
      </c>
      <c r="S271" t="s">
        <v>2317</v>
      </c>
      <c r="T271">
        <v>89320130202</v>
      </c>
      <c r="U271" t="s">
        <v>2181</v>
      </c>
      <c r="V271" t="s">
        <v>2318</v>
      </c>
      <c r="W271">
        <v>9955447689</v>
      </c>
      <c r="X271" t="s">
        <v>2183</v>
      </c>
      <c r="Y271" t="s">
        <v>2118</v>
      </c>
      <c r="Z271" t="s">
        <v>2184</v>
      </c>
      <c r="AA271">
        <v>8</v>
      </c>
      <c r="AB271" s="6" t="s">
        <v>755</v>
      </c>
      <c r="AC271" s="2" t="s">
        <v>1146</v>
      </c>
      <c r="AD271" s="48" t="s">
        <v>1145</v>
      </c>
      <c r="AE271" s="48" t="s">
        <v>1144</v>
      </c>
      <c r="AF271" s="153" t="s">
        <v>1680</v>
      </c>
      <c r="AI271" s="6">
        <v>2</v>
      </c>
      <c r="AJ271" s="114" t="str">
        <f ca="1">IF((WEEKDAY(TODAY(),2))=6,"10:00","09:00")</f>
        <v>09:00</v>
      </c>
      <c r="AK271" s="58">
        <v>0.54166666666666696</v>
      </c>
      <c r="AL271" s="58" t="str">
        <f t="shared" ca="1" si="39"/>
        <v>09:00 - 13:00</v>
      </c>
      <c r="AM271" s="151">
        <v>4</v>
      </c>
      <c r="AN271" s="95">
        <f t="shared" si="44"/>
        <v>300000</v>
      </c>
      <c r="AO271" s="94" t="b">
        <v>1</v>
      </c>
      <c r="AP271" s="34">
        <f t="shared" si="40"/>
        <v>320.79999999999995</v>
      </c>
      <c r="AQ271" s="23">
        <f t="shared" si="41"/>
        <v>1</v>
      </c>
      <c r="AR271" s="35" t="s">
        <v>48</v>
      </c>
      <c r="AU271" s="46"/>
      <c r="AW271" s="63" t="str">
        <f t="shared" ca="1" si="42"/>
        <v>11:13:29</v>
      </c>
      <c r="AX271" s="10"/>
      <c r="AY271" s="160">
        <v>1</v>
      </c>
      <c r="AZ271" s="10"/>
      <c r="BA271" s="104" t="str">
        <f t="shared" si="43"/>
        <v>РАМЕНСКОЕ-ВЫСОКОВОЛЬТНАЯ-22</v>
      </c>
      <c r="BB271" s="85">
        <f>AP271*3+10*60</f>
        <v>1562.3999999999999</v>
      </c>
      <c r="BD271" s="123"/>
      <c r="BE271" s="117" t="s">
        <v>1315</v>
      </c>
      <c r="BF271" s="89">
        <v>20.293333333333329</v>
      </c>
      <c r="BG271" s="89" t="s">
        <v>1315</v>
      </c>
      <c r="BH271" s="89" t="s">
        <v>1315</v>
      </c>
      <c r="BI271" s="89" t="s">
        <v>1315</v>
      </c>
      <c r="BJ271" s="89">
        <v>9.2266666666666595</v>
      </c>
      <c r="BK271" s="89" t="s">
        <v>1315</v>
      </c>
      <c r="BL271" s="1" t="s">
        <v>242</v>
      </c>
    </row>
    <row r="272" spans="3:64" ht="15" customHeight="1" x14ac:dyDescent="0.3">
      <c r="C272" s="1">
        <v>42</v>
      </c>
      <c r="D272" s="6">
        <v>65820</v>
      </c>
      <c r="E272" s="6">
        <v>4820</v>
      </c>
      <c r="F272" s="1" t="s">
        <v>1380</v>
      </c>
      <c r="G272" s="8" t="s">
        <v>43</v>
      </c>
      <c r="H272" s="9">
        <v>44.53</v>
      </c>
      <c r="I272" s="9">
        <v>21.15</v>
      </c>
      <c r="J272" s="9" t="s">
        <v>1315</v>
      </c>
      <c r="K272" s="1" t="s">
        <v>1756</v>
      </c>
      <c r="M272" s="2" t="s">
        <v>1967</v>
      </c>
      <c r="N272" s="1">
        <v>1</v>
      </c>
      <c r="O272" s="1">
        <v>4</v>
      </c>
      <c r="P272" s="1" t="s">
        <v>243</v>
      </c>
      <c r="Q272" s="10" t="s">
        <v>246</v>
      </c>
      <c r="R272" t="s">
        <v>2316</v>
      </c>
      <c r="S272" t="s">
        <v>2317</v>
      </c>
      <c r="T272">
        <v>89320130202</v>
      </c>
      <c r="U272" t="s">
        <v>2181</v>
      </c>
      <c r="V272" t="s">
        <v>2318</v>
      </c>
      <c r="W272">
        <v>9955447689</v>
      </c>
      <c r="X272" t="s">
        <v>2183</v>
      </c>
      <c r="Y272" t="s">
        <v>2118</v>
      </c>
      <c r="Z272" t="s">
        <v>2184</v>
      </c>
      <c r="AA272">
        <v>8</v>
      </c>
      <c r="AB272" s="6" t="s">
        <v>756</v>
      </c>
      <c r="AC272" s="2" t="s">
        <v>739</v>
      </c>
      <c r="AD272" s="48" t="s">
        <v>1151</v>
      </c>
      <c r="AE272" s="48" t="s">
        <v>1152</v>
      </c>
      <c r="AF272" s="153" t="s">
        <v>1680</v>
      </c>
      <c r="AI272" s="6">
        <v>2</v>
      </c>
      <c r="AJ272" s="114" t="str">
        <f ca="1">IF((WEEKDAY(TODAY(),2))=6,"10:00","09:00")</f>
        <v>09:00</v>
      </c>
      <c r="AK272" s="58">
        <v>0.54166666666666696</v>
      </c>
      <c r="AL272" s="58" t="str">
        <f t="shared" ca="1" si="39"/>
        <v>09:00 - 13:00</v>
      </c>
      <c r="AM272" s="151">
        <v>4</v>
      </c>
      <c r="AN272" s="95">
        <f t="shared" si="44"/>
        <v>420352</v>
      </c>
      <c r="AO272" s="94" t="b">
        <v>1</v>
      </c>
      <c r="AP272" s="34">
        <f t="shared" si="40"/>
        <v>1313.6</v>
      </c>
      <c r="AQ272" s="23">
        <f t="shared" si="41"/>
        <v>3</v>
      </c>
      <c r="AR272" s="35" t="s">
        <v>48</v>
      </c>
      <c r="AU272" s="46"/>
      <c r="AW272" s="63" t="str">
        <f t="shared" ca="1" si="42"/>
        <v>11:54:26</v>
      </c>
      <c r="AX272" s="10"/>
      <c r="AY272" s="160">
        <v>1</v>
      </c>
      <c r="AZ272" s="10"/>
      <c r="BA272" s="104" t="str">
        <f t="shared" si="43"/>
        <v>РАМЕНСКОЕ-СЕВЕРНОЕ-Ш-16А</v>
      </c>
      <c r="BB272" s="85">
        <f>AP272*2.8+10*60</f>
        <v>4278.08</v>
      </c>
      <c r="BD272" s="123"/>
      <c r="BE272" s="117" t="s">
        <v>1315</v>
      </c>
      <c r="BF272" s="89" t="s">
        <v>1315</v>
      </c>
      <c r="BG272" s="89" t="s">
        <v>1315</v>
      </c>
      <c r="BH272" s="89">
        <v>7.5859999999999914</v>
      </c>
      <c r="BI272" s="89" t="s">
        <v>1315</v>
      </c>
      <c r="BJ272" s="89">
        <v>2.4926666666666648</v>
      </c>
      <c r="BK272" s="89" t="s">
        <v>1315</v>
      </c>
      <c r="BL272" s="1" t="s">
        <v>245</v>
      </c>
    </row>
    <row r="273" spans="3:65" ht="15" customHeight="1" x14ac:dyDescent="0.3">
      <c r="C273" s="1">
        <v>323</v>
      </c>
      <c r="D273" s="6">
        <v>65818</v>
      </c>
      <c r="E273" s="6">
        <v>4818</v>
      </c>
      <c r="F273" s="36" t="s">
        <v>1533</v>
      </c>
      <c r="G273" s="8" t="s">
        <v>43</v>
      </c>
      <c r="H273" s="9">
        <v>27.450000000000003</v>
      </c>
      <c r="I273" s="9">
        <v>5.35</v>
      </c>
      <c r="J273" s="9" t="s">
        <v>1782</v>
      </c>
      <c r="K273" s="1" t="s">
        <v>1697</v>
      </c>
      <c r="M273" s="2" t="s">
        <v>1326</v>
      </c>
      <c r="N273" s="1">
        <v>1</v>
      </c>
      <c r="O273" s="1">
        <v>1</v>
      </c>
      <c r="P273" s="1" t="s">
        <v>149</v>
      </c>
      <c r="Q273" s="12" t="s">
        <v>437</v>
      </c>
      <c r="R273" t="s">
        <v>2319</v>
      </c>
      <c r="S273" t="s">
        <v>2320</v>
      </c>
      <c r="T273">
        <v>89267305060</v>
      </c>
      <c r="U273" t="s">
        <v>2181</v>
      </c>
      <c r="V273" t="s">
        <v>2321</v>
      </c>
      <c r="W273">
        <v>9949331677</v>
      </c>
      <c r="X273" t="s">
        <v>2183</v>
      </c>
      <c r="Y273" t="s">
        <v>2118</v>
      </c>
      <c r="Z273" t="s">
        <v>2184</v>
      </c>
      <c r="AA273">
        <v>8</v>
      </c>
      <c r="AB273" s="6" t="s">
        <v>892</v>
      </c>
      <c r="AC273" s="2" t="s">
        <v>438</v>
      </c>
      <c r="AF273" s="153" t="s">
        <v>1672</v>
      </c>
      <c r="AI273" s="6">
        <v>2</v>
      </c>
      <c r="AJ273" s="114" t="str">
        <f ca="1">IF((WEEKDAY(TODAY(),2))=6,"10:00","08:00")</f>
        <v>08:00</v>
      </c>
      <c r="AK273" s="162">
        <v>0.70833333333333304</v>
      </c>
      <c r="AL273" s="58" t="str">
        <f t="shared" ca="1" si="39"/>
        <v>08:00 - 17:00</v>
      </c>
      <c r="AM273" s="151">
        <v>1</v>
      </c>
      <c r="AN273" s="95">
        <f t="shared" si="44"/>
        <v>300000</v>
      </c>
      <c r="AO273" s="94" t="b">
        <v>1</v>
      </c>
      <c r="AP273" s="34">
        <f t="shared" si="40"/>
        <v>656</v>
      </c>
      <c r="AQ273" s="23">
        <f t="shared" si="41"/>
        <v>2</v>
      </c>
      <c r="AR273" s="35" t="s">
        <v>48</v>
      </c>
      <c r="AW273" s="63" t="str">
        <f t="shared" ca="1" si="42"/>
        <v>08:00</v>
      </c>
      <c r="AX273" s="173"/>
      <c r="AY273" s="160">
        <v>3</v>
      </c>
      <c r="AZ273" s="10"/>
      <c r="BA273" s="104" t="str">
        <f t="shared" si="43"/>
        <v>ХИМКИ-МЕЛЬНИКОВА-5К2</v>
      </c>
      <c r="BB273" s="87">
        <f>AP273*3.5+10*60</f>
        <v>2896</v>
      </c>
      <c r="BD273" s="123"/>
      <c r="BE273" s="117" t="s">
        <v>1315</v>
      </c>
      <c r="BF273" s="89" t="s">
        <v>1315</v>
      </c>
      <c r="BG273" s="89">
        <v>0.65833333333334565</v>
      </c>
      <c r="BH273" s="89" t="s">
        <v>1315</v>
      </c>
      <c r="BI273" s="89" t="s">
        <v>1315</v>
      </c>
      <c r="BJ273" s="89" t="s">
        <v>1315</v>
      </c>
      <c r="BK273" s="89">
        <v>20.143333333333338</v>
      </c>
      <c r="BL273" s="36" t="s">
        <v>436</v>
      </c>
    </row>
    <row r="274" spans="3:65" ht="15" customHeight="1" x14ac:dyDescent="0.3">
      <c r="C274" s="1">
        <v>322</v>
      </c>
      <c r="D274" s="6">
        <v>50797</v>
      </c>
      <c r="E274" s="6">
        <v>4797</v>
      </c>
      <c r="F274" s="10" t="s">
        <v>1532</v>
      </c>
      <c r="G274" s="8" t="s">
        <v>43</v>
      </c>
      <c r="H274" s="9">
        <v>10.5</v>
      </c>
      <c r="I274" s="9">
        <v>4.45</v>
      </c>
      <c r="J274" s="9" t="s">
        <v>1315</v>
      </c>
      <c r="K274" s="1" t="s">
        <v>1697</v>
      </c>
      <c r="M274" s="2" t="s">
        <v>1328</v>
      </c>
      <c r="N274" s="1">
        <v>1</v>
      </c>
      <c r="O274" s="1">
        <v>2</v>
      </c>
      <c r="P274" s="1" t="s">
        <v>149</v>
      </c>
      <c r="Q274" s="10" t="s">
        <v>198</v>
      </c>
      <c r="R274" t="s">
        <v>2319</v>
      </c>
      <c r="S274" t="s">
        <v>2320</v>
      </c>
      <c r="T274">
        <v>89267305060</v>
      </c>
      <c r="U274" t="s">
        <v>2181</v>
      </c>
      <c r="V274" t="s">
        <v>2321</v>
      </c>
      <c r="W274">
        <v>9949331677</v>
      </c>
      <c r="X274" t="s">
        <v>2183</v>
      </c>
      <c r="Y274" t="s">
        <v>2118</v>
      </c>
      <c r="Z274" t="s">
        <v>2184</v>
      </c>
      <c r="AA274">
        <v>8</v>
      </c>
      <c r="AB274" s="6" t="s">
        <v>891</v>
      </c>
      <c r="AC274" s="2" t="s">
        <v>199</v>
      </c>
      <c r="AF274" s="153" t="s">
        <v>1672</v>
      </c>
      <c r="AI274" s="6">
        <v>2</v>
      </c>
      <c r="AJ274" s="114" t="str">
        <f ca="1">IF((WEEKDAY(TODAY(),2))=6,"10:00","09:00")</f>
        <v>09:00</v>
      </c>
      <c r="AK274" s="162">
        <v>0.70833333333333304</v>
      </c>
      <c r="AL274" s="58" t="str">
        <f t="shared" ca="1" si="39"/>
        <v>09:00 - 17:00</v>
      </c>
      <c r="AM274" s="151">
        <v>1</v>
      </c>
      <c r="AN274" s="95">
        <f t="shared" si="44"/>
        <v>300000</v>
      </c>
      <c r="AO274" s="94" t="b">
        <v>1</v>
      </c>
      <c r="AP274" s="34">
        <f t="shared" si="40"/>
        <v>299</v>
      </c>
      <c r="AQ274" s="23">
        <f t="shared" si="41"/>
        <v>1</v>
      </c>
      <c r="AR274" s="35" t="s">
        <v>48</v>
      </c>
      <c r="AW274" s="63" t="str">
        <f t="shared" ca="1" si="42"/>
        <v>09:00</v>
      </c>
      <c r="AX274" s="173"/>
      <c r="AY274" s="160">
        <v>3</v>
      </c>
      <c r="AZ274" s="10"/>
      <c r="BA274" s="104" t="str">
        <f t="shared" si="43"/>
        <v>ХИМКИ-МЕЛЬНИКОВА-33</v>
      </c>
      <c r="BB274" s="85">
        <f>AP274*3+10*60</f>
        <v>1497</v>
      </c>
      <c r="BD274" s="123"/>
      <c r="BE274" s="117" t="s">
        <v>1315</v>
      </c>
      <c r="BF274" s="89">
        <v>6.7633333333333425</v>
      </c>
      <c r="BG274" s="89">
        <v>-4.2399999999999949</v>
      </c>
      <c r="BH274" s="89" t="s">
        <v>1315</v>
      </c>
      <c r="BI274" s="89" t="s">
        <v>1315</v>
      </c>
      <c r="BJ274" s="89">
        <v>0.67999999999999972</v>
      </c>
      <c r="BK274" s="89" t="s">
        <v>1315</v>
      </c>
      <c r="BL274" s="10" t="s">
        <v>197</v>
      </c>
    </row>
    <row r="275" spans="3:65" ht="15" customHeight="1" x14ac:dyDescent="0.3">
      <c r="C275" s="1">
        <v>317</v>
      </c>
      <c r="D275" s="6">
        <v>65873</v>
      </c>
      <c r="E275" s="6">
        <v>4873</v>
      </c>
      <c r="F275" s="37" t="s">
        <v>1530</v>
      </c>
      <c r="G275" s="8" t="s">
        <v>43</v>
      </c>
      <c r="H275" s="9">
        <v>5.15</v>
      </c>
      <c r="I275" s="9">
        <v>1.8</v>
      </c>
      <c r="J275" s="9" t="s">
        <v>1315</v>
      </c>
      <c r="K275" s="1" t="s">
        <v>1697</v>
      </c>
      <c r="M275" s="2" t="s">
        <v>1845</v>
      </c>
      <c r="N275" s="1">
        <v>1</v>
      </c>
      <c r="O275" s="1">
        <v>3</v>
      </c>
      <c r="P275" s="1" t="s">
        <v>149</v>
      </c>
      <c r="Q275" s="1" t="s">
        <v>434</v>
      </c>
      <c r="R275" t="s">
        <v>2319</v>
      </c>
      <c r="S275" t="s">
        <v>2320</v>
      </c>
      <c r="T275">
        <v>89267305060</v>
      </c>
      <c r="U275" t="s">
        <v>2181</v>
      </c>
      <c r="V275" t="s">
        <v>2321</v>
      </c>
      <c r="W275">
        <v>9949331677</v>
      </c>
      <c r="X275" t="s">
        <v>2183</v>
      </c>
      <c r="Y275" t="s">
        <v>2118</v>
      </c>
      <c r="Z275" t="s">
        <v>2184</v>
      </c>
      <c r="AA275">
        <v>8</v>
      </c>
      <c r="AB275" s="6" t="s">
        <v>889</v>
      </c>
      <c r="AC275" s="2" t="s">
        <v>435</v>
      </c>
      <c r="AD275" s="48" t="s">
        <v>1179</v>
      </c>
      <c r="AE275" s="48" t="s">
        <v>1180</v>
      </c>
      <c r="AF275" s="167" t="s">
        <v>1672</v>
      </c>
      <c r="AI275" s="6">
        <v>2</v>
      </c>
      <c r="AJ275" s="114" t="str">
        <f ca="1">IF((WEEKDAY(TODAY(),2))=6,"10:00","09:00")</f>
        <v>09:00</v>
      </c>
      <c r="AK275" s="58">
        <v>0.54166666666666696</v>
      </c>
      <c r="AL275" s="58" t="str">
        <f t="shared" ca="1" si="39"/>
        <v>09:00 - 13:00</v>
      </c>
      <c r="AM275" s="151">
        <v>1</v>
      </c>
      <c r="AN275" s="95">
        <f t="shared" si="44"/>
        <v>300000</v>
      </c>
      <c r="AO275" s="94" t="b">
        <v>1</v>
      </c>
      <c r="AP275" s="34">
        <f t="shared" si="40"/>
        <v>139</v>
      </c>
      <c r="AQ275" s="23">
        <f t="shared" si="41"/>
        <v>1</v>
      </c>
      <c r="AR275" s="35" t="s">
        <v>48</v>
      </c>
      <c r="AW275" s="63" t="str">
        <f t="shared" ca="1" si="42"/>
        <v>09:45:13</v>
      </c>
      <c r="AX275" s="173"/>
      <c r="AY275" s="160">
        <v>1</v>
      </c>
      <c r="AZ275" s="10"/>
      <c r="BA275" s="104" t="str">
        <f t="shared" si="43"/>
        <v>СХОДНЯ-ЮБИЛЕЙНЫЙ-ПР-Д-ВЛ5С5</v>
      </c>
      <c r="BB275" s="85">
        <f>AP275*3+10*60</f>
        <v>1017</v>
      </c>
      <c r="BD275" s="123"/>
      <c r="BE275" s="117" t="s">
        <v>1315</v>
      </c>
      <c r="BF275" s="89" t="s">
        <v>1315</v>
      </c>
      <c r="BG275" s="89" t="s">
        <v>1315</v>
      </c>
      <c r="BH275" s="89" t="s">
        <v>1315</v>
      </c>
      <c r="BI275" s="89" t="s">
        <v>1315</v>
      </c>
      <c r="BJ275" s="89" t="s">
        <v>1315</v>
      </c>
      <c r="BK275" s="89">
        <v>4.4866666666666646</v>
      </c>
      <c r="BL275" s="37" t="s">
        <v>433</v>
      </c>
    </row>
    <row r="276" spans="3:65" ht="15" customHeight="1" x14ac:dyDescent="0.3">
      <c r="C276" s="1">
        <v>240</v>
      </c>
      <c r="D276" s="6">
        <v>804</v>
      </c>
      <c r="E276" s="6">
        <v>4804</v>
      </c>
      <c r="F276" s="36" t="s">
        <v>1650</v>
      </c>
      <c r="G276" s="8" t="s">
        <v>50</v>
      </c>
      <c r="H276" s="9">
        <v>14.18</v>
      </c>
      <c r="I276" s="9">
        <v>12.03</v>
      </c>
      <c r="J276" s="9" t="s">
        <v>1315</v>
      </c>
      <c r="K276" s="1" t="s">
        <v>1697</v>
      </c>
      <c r="M276" s="2" t="s">
        <v>1846</v>
      </c>
      <c r="N276" s="1">
        <v>1</v>
      </c>
      <c r="O276" s="1">
        <v>4</v>
      </c>
      <c r="P276" s="1" t="s">
        <v>387</v>
      </c>
      <c r="Q276" s="10" t="s">
        <v>389</v>
      </c>
      <c r="R276" t="s">
        <v>2319</v>
      </c>
      <c r="S276" t="s">
        <v>2320</v>
      </c>
      <c r="T276">
        <v>89267305060</v>
      </c>
      <c r="U276" t="s">
        <v>2181</v>
      </c>
      <c r="V276" t="s">
        <v>2321</v>
      </c>
      <c r="W276">
        <v>9949331677</v>
      </c>
      <c r="X276" t="s">
        <v>2183</v>
      </c>
      <c r="Y276" t="s">
        <v>2118</v>
      </c>
      <c r="Z276" t="s">
        <v>2184</v>
      </c>
      <c r="AA276">
        <v>8</v>
      </c>
      <c r="AB276" s="6" t="s">
        <v>855</v>
      </c>
      <c r="AC276" s="2" t="s">
        <v>390</v>
      </c>
      <c r="AF276" s="14" t="s">
        <v>732</v>
      </c>
      <c r="AH276" s="25"/>
      <c r="AI276" s="6">
        <v>2</v>
      </c>
      <c r="AJ276" s="13" t="s">
        <v>1329</v>
      </c>
      <c r="AK276" s="58">
        <v>0.54166666666666696</v>
      </c>
      <c r="AL276" s="58" t="str">
        <f t="shared" si="39"/>
        <v>09:30 - 13:00</v>
      </c>
      <c r="AM276" s="151">
        <v>1</v>
      </c>
      <c r="AN276" s="95">
        <f t="shared" si="44"/>
        <v>300000</v>
      </c>
      <c r="AO276" s="94" t="b">
        <v>1</v>
      </c>
      <c r="AP276" s="34">
        <f t="shared" si="40"/>
        <v>524.20000000000005</v>
      </c>
      <c r="AQ276" s="23">
        <f t="shared" si="41"/>
        <v>1</v>
      </c>
      <c r="AR276" s="35" t="s">
        <v>48</v>
      </c>
      <c r="AW276" s="63" t="str">
        <f t="shared" si="42"/>
        <v>10:41:21</v>
      </c>
      <c r="AX276" s="173"/>
      <c r="AY276" s="160">
        <v>1</v>
      </c>
      <c r="AZ276" s="10"/>
      <c r="BA276" s="104" t="str">
        <f t="shared" si="43"/>
        <v>ЗЕЛЕНОГ-ГЕОРГИЕВСКИЙ-ПР-Т-33К6</v>
      </c>
      <c r="BB276" s="85">
        <f>AP276*3.2+10*60</f>
        <v>2277.4400000000005</v>
      </c>
      <c r="BD276" s="123"/>
      <c r="BE276" s="117" t="s">
        <v>1315</v>
      </c>
      <c r="BF276" s="89" t="s">
        <v>1315</v>
      </c>
      <c r="BG276" s="89">
        <v>-8.5186666666666717</v>
      </c>
      <c r="BH276" s="89" t="s">
        <v>1315</v>
      </c>
      <c r="BI276" s="89" t="s">
        <v>1315</v>
      </c>
      <c r="BJ276" s="89" t="s">
        <v>1315</v>
      </c>
      <c r="BK276" s="89" t="s">
        <v>1315</v>
      </c>
      <c r="BL276" s="36" t="s">
        <v>388</v>
      </c>
    </row>
    <row r="277" spans="3:65" ht="15" customHeight="1" x14ac:dyDescent="0.3">
      <c r="C277" s="1">
        <v>241</v>
      </c>
      <c r="D277" s="6">
        <v>507081</v>
      </c>
      <c r="E277" s="6">
        <v>4081</v>
      </c>
      <c r="F277" s="36" t="s">
        <v>1509</v>
      </c>
      <c r="G277" s="8" t="s">
        <v>43</v>
      </c>
      <c r="H277" s="9">
        <v>50.7</v>
      </c>
      <c r="I277" s="9">
        <v>15.72</v>
      </c>
      <c r="J277" s="9" t="s">
        <v>1315</v>
      </c>
      <c r="K277" s="1" t="s">
        <v>1697</v>
      </c>
      <c r="M277" s="2" t="s">
        <v>1847</v>
      </c>
      <c r="N277" s="1">
        <v>1</v>
      </c>
      <c r="O277" s="1">
        <v>5</v>
      </c>
      <c r="P277" s="1" t="s">
        <v>1010</v>
      </c>
      <c r="Q277" s="10" t="s">
        <v>977</v>
      </c>
      <c r="R277" t="s">
        <v>2319</v>
      </c>
      <c r="S277" t="s">
        <v>2320</v>
      </c>
      <c r="T277">
        <v>89267305060</v>
      </c>
      <c r="U277" t="s">
        <v>2181</v>
      </c>
      <c r="V277" t="s">
        <v>2321</v>
      </c>
      <c r="W277">
        <v>9949331677</v>
      </c>
      <c r="X277" t="s">
        <v>2183</v>
      </c>
      <c r="Y277" t="s">
        <v>2118</v>
      </c>
      <c r="Z277" t="s">
        <v>2184</v>
      </c>
      <c r="AA277">
        <v>8</v>
      </c>
      <c r="AB277" s="6" t="s">
        <v>856</v>
      </c>
      <c r="AC277" s="10" t="s">
        <v>1009</v>
      </c>
      <c r="AF277" s="53" t="s">
        <v>1672</v>
      </c>
      <c r="AH277" s="24"/>
      <c r="AI277" s="6">
        <v>2</v>
      </c>
      <c r="AJ277" s="114" t="str">
        <f ca="1">IF((WEEKDAY(TODAY(),2))=6,"10:00","09:00")</f>
        <v>09:00</v>
      </c>
      <c r="AK277" s="58">
        <v>0.54166666666666696</v>
      </c>
      <c r="AL277" s="58" t="str">
        <f t="shared" ca="1" si="39"/>
        <v>09:00 - 13:00</v>
      </c>
      <c r="AM277" s="151">
        <v>1</v>
      </c>
      <c r="AN277" s="95">
        <f t="shared" si="44"/>
        <v>425088</v>
      </c>
      <c r="AO277" s="94" t="b">
        <v>1</v>
      </c>
      <c r="AP277" s="34">
        <f t="shared" si="40"/>
        <v>1328.4</v>
      </c>
      <c r="AQ277" s="23">
        <f t="shared" si="41"/>
        <v>3</v>
      </c>
      <c r="AR277" s="35" t="s">
        <v>48</v>
      </c>
      <c r="AT277" s="10"/>
      <c r="AW277" s="63" t="str">
        <f t="shared" ca="1" si="42"/>
        <v>11:34:16</v>
      </c>
      <c r="AX277" s="173"/>
      <c r="AY277" s="160">
        <v>1</v>
      </c>
      <c r="AZ277" s="10"/>
      <c r="BA277" s="104" t="str">
        <f t="shared" si="43"/>
        <v>РУЗИНО-КУТУЗОВСКИЙ-МКР-3К1</v>
      </c>
      <c r="BB277" s="87">
        <f>AP277*3.5+10*60</f>
        <v>5249.4000000000005</v>
      </c>
      <c r="BD277" s="123"/>
      <c r="BE277" s="117" t="s">
        <v>1315</v>
      </c>
      <c r="BF277" s="89" t="s">
        <v>1315</v>
      </c>
      <c r="BG277" s="89" t="s">
        <v>1315</v>
      </c>
      <c r="BH277" s="89" t="s">
        <v>1315</v>
      </c>
      <c r="BI277" s="89" t="s">
        <v>1315</v>
      </c>
      <c r="BJ277" s="89" t="s">
        <v>1315</v>
      </c>
      <c r="BK277" s="89" t="s">
        <v>1315</v>
      </c>
      <c r="BL277" s="36" t="s">
        <v>976</v>
      </c>
    </row>
    <row r="278" spans="3:65" ht="15" customHeight="1" x14ac:dyDescent="0.3">
      <c r="C278" s="1">
        <v>487</v>
      </c>
      <c r="D278" s="6">
        <v>7250</v>
      </c>
      <c r="F278" s="1" t="s">
        <v>1663</v>
      </c>
      <c r="G278" s="8" t="s">
        <v>50</v>
      </c>
      <c r="H278" s="9">
        <v>35.19</v>
      </c>
      <c r="I278" s="9">
        <v>9.24</v>
      </c>
      <c r="J278" s="9" t="s">
        <v>1789</v>
      </c>
      <c r="K278" s="1" t="s">
        <v>1721</v>
      </c>
      <c r="M278" s="2" t="s">
        <v>1940</v>
      </c>
      <c r="N278" s="1">
        <v>1</v>
      </c>
      <c r="O278" s="1">
        <v>1</v>
      </c>
      <c r="P278" s="1" t="s">
        <v>51</v>
      </c>
      <c r="Q278" s="10" t="s">
        <v>1665</v>
      </c>
      <c r="R278" t="s">
        <v>2112</v>
      </c>
      <c r="S278" t="s">
        <v>2113</v>
      </c>
      <c r="T278" t="s">
        <v>2114</v>
      </c>
      <c r="U278" t="s">
        <v>2115</v>
      </c>
      <c r="V278" t="s">
        <v>2116</v>
      </c>
      <c r="W278">
        <v>9974602136</v>
      </c>
      <c r="X278" t="s">
        <v>2117</v>
      </c>
      <c r="Y278" t="s">
        <v>2118</v>
      </c>
      <c r="Z278" t="s">
        <v>2119</v>
      </c>
      <c r="AA278">
        <v>8</v>
      </c>
      <c r="AB278" s="6" t="s">
        <v>1059</v>
      </c>
      <c r="AC278" s="2" t="s">
        <v>1666</v>
      </c>
      <c r="AF278" s="153" t="s">
        <v>1672</v>
      </c>
      <c r="AI278" s="6">
        <v>2</v>
      </c>
      <c r="AJ278" s="13" t="s">
        <v>1329</v>
      </c>
      <c r="AK278" s="58">
        <v>0.54166666666666696</v>
      </c>
      <c r="AL278" s="58" t="str">
        <f t="shared" si="39"/>
        <v>09:30 - 13:00</v>
      </c>
      <c r="AM278" s="151">
        <v>5</v>
      </c>
      <c r="AN278" s="95">
        <f t="shared" si="44"/>
        <v>300000</v>
      </c>
      <c r="AO278" s="94" t="b">
        <v>1</v>
      </c>
      <c r="AP278" s="34">
        <f t="shared" si="40"/>
        <v>888.59999999999991</v>
      </c>
      <c r="AQ278" s="23">
        <f t="shared" si="41"/>
        <v>2</v>
      </c>
      <c r="AR278" s="35" t="s">
        <v>48</v>
      </c>
      <c r="AW278" s="63" t="str">
        <f t="shared" si="42"/>
        <v>10:52:44</v>
      </c>
      <c r="AX278" s="10"/>
      <c r="AY278" s="160">
        <v>1</v>
      </c>
      <c r="AZ278" s="10"/>
      <c r="BA278" s="104" t="str">
        <f t="shared" si="43"/>
        <v>МИКЛУХО-МАКЛАЯ-55</v>
      </c>
      <c r="BB278" s="85">
        <f>AP278*3.1+10*60</f>
        <v>3354.66</v>
      </c>
      <c r="BD278" s="123"/>
      <c r="BE278" s="117" t="s">
        <v>1315</v>
      </c>
      <c r="BF278" s="89" t="s">
        <v>1315</v>
      </c>
      <c r="BG278" s="89">
        <v>-36.967666666666659</v>
      </c>
      <c r="BH278" s="89">
        <v>1.1686666666666667</v>
      </c>
      <c r="BI278" s="89" t="s">
        <v>1315</v>
      </c>
      <c r="BJ278" s="89">
        <v>-4.4366666666666674</v>
      </c>
      <c r="BK278" s="89" t="s">
        <v>1315</v>
      </c>
    </row>
    <row r="279" spans="3:65" ht="15" customHeight="1" x14ac:dyDescent="0.3">
      <c r="C279" s="1">
        <v>54</v>
      </c>
      <c r="D279" s="6">
        <v>7244</v>
      </c>
      <c r="E279" s="6">
        <v>4244</v>
      </c>
      <c r="F279" s="54" t="s">
        <v>1386</v>
      </c>
      <c r="G279" s="8" t="s">
        <v>50</v>
      </c>
      <c r="H279" s="9">
        <v>32.43</v>
      </c>
      <c r="I279" s="9">
        <v>11.84</v>
      </c>
      <c r="J279" s="9" t="s">
        <v>1315</v>
      </c>
      <c r="K279" s="1" t="s">
        <v>1721</v>
      </c>
      <c r="L279" s="60"/>
      <c r="M279" s="2" t="s">
        <v>1887</v>
      </c>
      <c r="N279" s="1">
        <v>1</v>
      </c>
      <c r="O279" s="1">
        <v>2</v>
      </c>
      <c r="P279" s="1" t="s">
        <v>51</v>
      </c>
      <c r="Q279" s="10" t="s">
        <v>1332</v>
      </c>
      <c r="R279" t="s">
        <v>2112</v>
      </c>
      <c r="S279" t="s">
        <v>2113</v>
      </c>
      <c r="T279" t="s">
        <v>2114</v>
      </c>
      <c r="U279" t="s">
        <v>2115</v>
      </c>
      <c r="V279" t="s">
        <v>2116</v>
      </c>
      <c r="W279">
        <v>9974602136</v>
      </c>
      <c r="X279" t="s">
        <v>2117</v>
      </c>
      <c r="Y279" t="s">
        <v>2118</v>
      </c>
      <c r="Z279" t="s">
        <v>2119</v>
      </c>
      <c r="AA279">
        <v>8</v>
      </c>
      <c r="AB279" s="6" t="s">
        <v>762</v>
      </c>
      <c r="AC279" s="2" t="s">
        <v>1333</v>
      </c>
      <c r="AF279" s="153" t="s">
        <v>1672</v>
      </c>
      <c r="AI279" s="6">
        <v>2</v>
      </c>
      <c r="AJ279" s="13" t="s">
        <v>1329</v>
      </c>
      <c r="AK279" s="58">
        <v>0.54166666666666696</v>
      </c>
      <c r="AL279" s="58" t="str">
        <f t="shared" si="39"/>
        <v>09:30 - 13:00</v>
      </c>
      <c r="AM279" s="151">
        <v>5</v>
      </c>
      <c r="AN279" s="95">
        <f t="shared" si="44"/>
        <v>300000</v>
      </c>
      <c r="AO279" s="94" t="b">
        <v>1</v>
      </c>
      <c r="AP279" s="34">
        <f t="shared" si="40"/>
        <v>885.40000000000009</v>
      </c>
      <c r="AQ279" s="23">
        <f t="shared" si="41"/>
        <v>2</v>
      </c>
      <c r="AR279" s="35" t="s">
        <v>48</v>
      </c>
      <c r="AU279" s="46"/>
      <c r="AW279" s="63" t="str">
        <f t="shared" si="42"/>
        <v>12:15:41</v>
      </c>
      <c r="AX279" s="10"/>
      <c r="AY279" s="160">
        <v>1</v>
      </c>
      <c r="AZ279" s="10"/>
      <c r="BA279" s="104" t="str">
        <f t="shared" si="43"/>
        <v>ЧЕРТАНОВСКАЯ-47К</v>
      </c>
      <c r="BB279" s="85">
        <f>AP279*3.5+10*60</f>
        <v>3698.9000000000005</v>
      </c>
      <c r="BD279" s="123"/>
      <c r="BE279" s="117">
        <v>-71.1666666666667</v>
      </c>
      <c r="BF279" s="89" t="s">
        <v>1315</v>
      </c>
      <c r="BG279" s="89">
        <v>-29.531666666666659</v>
      </c>
      <c r="BH279" s="89" t="s">
        <v>1315</v>
      </c>
      <c r="BI279" s="89">
        <v>-13.298333333333339</v>
      </c>
      <c r="BJ279" s="89" t="s">
        <v>1315</v>
      </c>
      <c r="BK279" s="89" t="s">
        <v>1315</v>
      </c>
      <c r="BL279" s="54" t="s">
        <v>1334</v>
      </c>
      <c r="BM279" s="69"/>
    </row>
    <row r="280" spans="3:65" ht="15" customHeight="1" x14ac:dyDescent="0.3">
      <c r="C280" s="1">
        <v>77</v>
      </c>
      <c r="D280" s="6">
        <v>257152</v>
      </c>
      <c r="E280" s="6">
        <v>4152</v>
      </c>
      <c r="F280" s="40" t="s">
        <v>1417</v>
      </c>
      <c r="G280" s="8" t="s">
        <v>43</v>
      </c>
      <c r="H280" s="9">
        <v>43.4</v>
      </c>
      <c r="I280" s="9">
        <v>16.05</v>
      </c>
      <c r="J280" s="9" t="s">
        <v>1315</v>
      </c>
      <c r="K280" s="1" t="s">
        <v>1721</v>
      </c>
      <c r="M280" s="2" t="s">
        <v>1914</v>
      </c>
      <c r="N280" s="1">
        <v>1</v>
      </c>
      <c r="O280" s="1">
        <v>3</v>
      </c>
      <c r="P280" s="1" t="s">
        <v>280</v>
      </c>
      <c r="Q280" s="10" t="s">
        <v>1074</v>
      </c>
      <c r="R280" t="s">
        <v>2112</v>
      </c>
      <c r="S280" t="s">
        <v>2113</v>
      </c>
      <c r="T280" t="s">
        <v>2114</v>
      </c>
      <c r="U280" t="s">
        <v>2115</v>
      </c>
      <c r="V280" t="s">
        <v>2116</v>
      </c>
      <c r="W280">
        <v>9974602136</v>
      </c>
      <c r="X280" t="s">
        <v>2117</v>
      </c>
      <c r="Y280" t="s">
        <v>2118</v>
      </c>
      <c r="Z280" t="s">
        <v>2119</v>
      </c>
      <c r="AA280">
        <v>8</v>
      </c>
      <c r="AB280" s="6" t="s">
        <v>773</v>
      </c>
      <c r="AC280" s="10" t="s">
        <v>1073</v>
      </c>
      <c r="AF280" s="155" t="s">
        <v>732</v>
      </c>
      <c r="AH280" s="24"/>
      <c r="AI280" s="6">
        <v>2</v>
      </c>
      <c r="AJ280" s="114" t="str">
        <f ca="1">IF((WEEKDAY(TODAY(),2))=6,"10:00","09:30")</f>
        <v>09:30</v>
      </c>
      <c r="AK280" s="162">
        <v>0.75</v>
      </c>
      <c r="AL280" s="58" t="str">
        <f t="shared" ca="1" si="39"/>
        <v>09:30 - 18:00</v>
      </c>
      <c r="AM280" s="151">
        <v>4</v>
      </c>
      <c r="AN280" s="95">
        <f t="shared" si="44"/>
        <v>380480</v>
      </c>
      <c r="AO280" s="94" t="b">
        <v>1</v>
      </c>
      <c r="AP280" s="34">
        <f t="shared" si="40"/>
        <v>1189</v>
      </c>
      <c r="AQ280" s="23">
        <f t="shared" si="41"/>
        <v>3</v>
      </c>
      <c r="AR280" s="35" t="s">
        <v>48</v>
      </c>
      <c r="AT280" s="10"/>
      <c r="AU280" s="46"/>
      <c r="AW280" s="63" t="str">
        <f t="shared" ca="1" si="42"/>
        <v>14:04:33</v>
      </c>
      <c r="AX280" s="10"/>
      <c r="AY280" s="160">
        <v>3</v>
      </c>
      <c r="AZ280" s="10"/>
      <c r="BA280" s="104" t="str">
        <f t="shared" si="43"/>
        <v>ДОМОДЕДОВО-КНЕЕВА-1</v>
      </c>
      <c r="BB280" s="85">
        <f>AP280*2.8+10*60</f>
        <v>3929.2</v>
      </c>
      <c r="BD280" s="123"/>
      <c r="BE280" s="117" t="s">
        <v>1315</v>
      </c>
      <c r="BF280" s="89">
        <v>1.1099999999999994</v>
      </c>
      <c r="BG280" s="89" t="s">
        <v>1315</v>
      </c>
      <c r="BH280" s="89" t="s">
        <v>1315</v>
      </c>
      <c r="BI280" s="89" t="s">
        <v>1315</v>
      </c>
      <c r="BJ280" s="89" t="s">
        <v>1315</v>
      </c>
      <c r="BK280" s="89">
        <v>7.934666666666665</v>
      </c>
      <c r="BL280" s="40" t="s">
        <v>1072</v>
      </c>
    </row>
    <row r="281" spans="3:65" ht="15" customHeight="1" x14ac:dyDescent="0.3">
      <c r="C281" s="1">
        <v>268</v>
      </c>
      <c r="D281" s="6">
        <v>507179</v>
      </c>
      <c r="E281" s="6">
        <v>4179</v>
      </c>
      <c r="F281" s="54" t="s">
        <v>1652</v>
      </c>
      <c r="G281" s="8" t="s">
        <v>43</v>
      </c>
      <c r="H281" s="9">
        <v>41.95</v>
      </c>
      <c r="I281" s="9">
        <v>15.76</v>
      </c>
      <c r="J281" s="9" t="s">
        <v>1843</v>
      </c>
      <c r="K281" s="1" t="s">
        <v>1706</v>
      </c>
      <c r="M281" s="2" t="s">
        <v>2063</v>
      </c>
      <c r="N281" s="1">
        <v>1</v>
      </c>
      <c r="O281" s="1">
        <v>1</v>
      </c>
      <c r="P281" s="1" t="s">
        <v>127</v>
      </c>
      <c r="Q281" s="10" t="s">
        <v>1236</v>
      </c>
      <c r="R281" t="s">
        <v>2120</v>
      </c>
      <c r="S281" t="s">
        <v>2121</v>
      </c>
      <c r="T281">
        <v>89013249176</v>
      </c>
      <c r="U281" t="s">
        <v>2122</v>
      </c>
      <c r="V281" t="s">
        <v>2123</v>
      </c>
      <c r="W281">
        <v>9934716652</v>
      </c>
      <c r="X281" t="s">
        <v>2117</v>
      </c>
      <c r="Y281" t="s">
        <v>2118</v>
      </c>
      <c r="Z281" t="s">
        <v>2119</v>
      </c>
      <c r="AA281">
        <v>8</v>
      </c>
      <c r="AB281" s="6" t="s">
        <v>866</v>
      </c>
      <c r="AC281" s="2" t="s">
        <v>1235</v>
      </c>
      <c r="AF281" s="167" t="s">
        <v>1672</v>
      </c>
      <c r="AI281" s="6">
        <v>2</v>
      </c>
      <c r="AJ281" s="114" t="str">
        <f ca="1">IF((WEEKDAY(TODAY(),2))=6,"10:00","09:00")</f>
        <v>09:00</v>
      </c>
      <c r="AK281" s="58">
        <v>0.54166666666666696</v>
      </c>
      <c r="AL281" s="58" t="str">
        <f t="shared" ca="1" si="39"/>
        <v>09:00 - 13:00</v>
      </c>
      <c r="AM281" s="151">
        <v>6</v>
      </c>
      <c r="AN281" s="95">
        <f t="shared" si="44"/>
        <v>369344</v>
      </c>
      <c r="AO281" s="94" t="b">
        <v>1</v>
      </c>
      <c r="AP281" s="34">
        <f t="shared" si="40"/>
        <v>1154.2</v>
      </c>
      <c r="AQ281" s="23">
        <f t="shared" si="41"/>
        <v>3</v>
      </c>
      <c r="AR281" s="35" t="s">
        <v>48</v>
      </c>
      <c r="AW281" s="63" t="str">
        <f t="shared" ca="1" si="42"/>
        <v>11:11:22</v>
      </c>
      <c r="AX281" s="10"/>
      <c r="AY281" s="160">
        <v>1</v>
      </c>
      <c r="AZ281" s="10"/>
      <c r="BA281" s="104" t="str">
        <f t="shared" si="43"/>
        <v>ИЛЬИНСКОЕ-УС-АРХАНГЕЛЬСКАЯ-11</v>
      </c>
      <c r="BB281" s="87">
        <f>AP281*3.2+10*60</f>
        <v>4293.4400000000005</v>
      </c>
      <c r="BD281" s="123"/>
      <c r="BE281" s="117" t="s">
        <v>1315</v>
      </c>
      <c r="BF281" s="89" t="s">
        <v>1315</v>
      </c>
      <c r="BG281" s="89">
        <v>-20.057333333333332</v>
      </c>
      <c r="BH281" s="89">
        <v>-21.61333333333333</v>
      </c>
      <c r="BI281" s="89" t="s">
        <v>1315</v>
      </c>
      <c r="BJ281" s="89">
        <v>-7.0893333333333288</v>
      </c>
      <c r="BK281" s="89" t="s">
        <v>1315</v>
      </c>
      <c r="BL281" s="54" t="s">
        <v>1237</v>
      </c>
    </row>
    <row r="282" spans="3:65" ht="15" customHeight="1" x14ac:dyDescent="0.3">
      <c r="C282" s="1">
        <v>327</v>
      </c>
      <c r="D282" s="6">
        <v>65898</v>
      </c>
      <c r="E282" s="6">
        <v>4898</v>
      </c>
      <c r="F282" s="36" t="s">
        <v>1534</v>
      </c>
      <c r="G282" s="8" t="s">
        <v>43</v>
      </c>
      <c r="H282" s="9">
        <v>11.39</v>
      </c>
      <c r="I282" s="9">
        <v>4.38</v>
      </c>
      <c r="J282" s="9" t="s">
        <v>1315</v>
      </c>
      <c r="K282" s="1" t="s">
        <v>1706</v>
      </c>
      <c r="M282" s="2" t="s">
        <v>2027</v>
      </c>
      <c r="N282" s="1">
        <v>1</v>
      </c>
      <c r="O282" s="1">
        <v>2</v>
      </c>
      <c r="P282" s="1" t="s">
        <v>149</v>
      </c>
      <c r="Q282" s="12" t="s">
        <v>440</v>
      </c>
      <c r="R282" t="s">
        <v>2120</v>
      </c>
      <c r="S282" t="s">
        <v>2121</v>
      </c>
      <c r="T282">
        <v>89013249176</v>
      </c>
      <c r="U282" t="s">
        <v>2122</v>
      </c>
      <c r="V282" t="s">
        <v>2123</v>
      </c>
      <c r="W282">
        <v>9934716652</v>
      </c>
      <c r="X282" t="s">
        <v>2117</v>
      </c>
      <c r="Y282" t="s">
        <v>2118</v>
      </c>
      <c r="Z282" t="s">
        <v>2119</v>
      </c>
      <c r="AA282">
        <v>8</v>
      </c>
      <c r="AB282" s="6" t="s">
        <v>893</v>
      </c>
      <c r="AC282" s="12" t="s">
        <v>1018</v>
      </c>
      <c r="AD282" s="48" t="s">
        <v>1181</v>
      </c>
      <c r="AE282" s="48" t="s">
        <v>1182</v>
      </c>
      <c r="AF282" s="156" t="s">
        <v>1681</v>
      </c>
      <c r="AI282" s="6">
        <v>2</v>
      </c>
      <c r="AJ282" s="114" t="str">
        <f ca="1">IF((WEEKDAY(TODAY(),2))=6,"10:00","09:00")</f>
        <v>09:00</v>
      </c>
      <c r="AK282" s="162">
        <v>0.70833333333333304</v>
      </c>
      <c r="AL282" s="58" t="str">
        <f t="shared" ca="1" si="39"/>
        <v>09:00 - 17:00</v>
      </c>
      <c r="AM282" s="151">
        <v>1</v>
      </c>
      <c r="AN282" s="95">
        <f t="shared" si="44"/>
        <v>300000</v>
      </c>
      <c r="AO282" s="94" t="b">
        <v>1</v>
      </c>
      <c r="AP282" s="34">
        <f t="shared" si="40"/>
        <v>315.39999999999998</v>
      </c>
      <c r="AQ282" s="23">
        <f t="shared" si="41"/>
        <v>1</v>
      </c>
      <c r="AR282" s="35" t="s">
        <v>48</v>
      </c>
      <c r="AW282" s="63" t="str">
        <f t="shared" ca="1" si="42"/>
        <v>13:06:45</v>
      </c>
      <c r="AX282" s="173"/>
      <c r="AY282" s="160">
        <v>3</v>
      </c>
      <c r="AZ282" s="10"/>
      <c r="BA282" s="104" t="str">
        <f t="shared" si="43"/>
        <v>ХИМКИ-МОСКОВСКАЯ-22/1К1</v>
      </c>
      <c r="BB282" s="85">
        <f>AP282*3.2+10*60</f>
        <v>1609.28</v>
      </c>
      <c r="BD282" s="123"/>
      <c r="BE282" s="117" t="s">
        <v>1315</v>
      </c>
      <c r="BF282" s="89" t="s">
        <v>1315</v>
      </c>
      <c r="BG282" s="89" t="s">
        <v>1315</v>
      </c>
      <c r="BH282" s="89" t="s">
        <v>1315</v>
      </c>
      <c r="BI282" s="89" t="s">
        <v>1315</v>
      </c>
      <c r="BJ282" s="89" t="s">
        <v>1315</v>
      </c>
      <c r="BK282" s="89" t="s">
        <v>1315</v>
      </c>
      <c r="BL282" s="36" t="s">
        <v>439</v>
      </c>
    </row>
    <row r="283" spans="3:65" ht="15" customHeight="1" x14ac:dyDescent="0.3">
      <c r="C283" s="1">
        <v>321</v>
      </c>
      <c r="D283" s="6">
        <v>50793</v>
      </c>
      <c r="E283" s="6">
        <v>4793</v>
      </c>
      <c r="F283" s="10" t="s">
        <v>1531</v>
      </c>
      <c r="G283" s="8" t="s">
        <v>43</v>
      </c>
      <c r="H283" s="9">
        <v>12.01</v>
      </c>
      <c r="I283" s="9">
        <v>3.01</v>
      </c>
      <c r="J283" s="9" t="s">
        <v>1315</v>
      </c>
      <c r="K283" s="1" t="s">
        <v>1706</v>
      </c>
      <c r="M283" s="2" t="s">
        <v>2025</v>
      </c>
      <c r="N283" s="1">
        <v>1</v>
      </c>
      <c r="O283" s="1">
        <v>3</v>
      </c>
      <c r="P283" s="1" t="s">
        <v>149</v>
      </c>
      <c r="Q283" s="10" t="s">
        <v>195</v>
      </c>
      <c r="R283" t="s">
        <v>2120</v>
      </c>
      <c r="S283" t="s">
        <v>2121</v>
      </c>
      <c r="T283">
        <v>89013249176</v>
      </c>
      <c r="U283" t="s">
        <v>2122</v>
      </c>
      <c r="V283" t="s">
        <v>2123</v>
      </c>
      <c r="W283">
        <v>9934716652</v>
      </c>
      <c r="X283" t="s">
        <v>2117</v>
      </c>
      <c r="Y283" t="s">
        <v>2118</v>
      </c>
      <c r="Z283" t="s">
        <v>2119</v>
      </c>
      <c r="AA283">
        <v>8</v>
      </c>
      <c r="AB283" s="6" t="s">
        <v>890</v>
      </c>
      <c r="AC283" s="2" t="s">
        <v>196</v>
      </c>
      <c r="AF283" s="153" t="s">
        <v>1672</v>
      </c>
      <c r="AI283" s="6">
        <v>2</v>
      </c>
      <c r="AJ283" s="114" t="str">
        <f ca="1">IF((WEEKDAY(TODAY(),2))=6,"10:00","09:00")</f>
        <v>09:00</v>
      </c>
      <c r="AK283" s="162">
        <v>0.70833333333333304</v>
      </c>
      <c r="AL283" s="58" t="str">
        <f t="shared" ca="1" si="39"/>
        <v>09:00 - 17:00</v>
      </c>
      <c r="AM283" s="151">
        <v>1</v>
      </c>
      <c r="AN283" s="95">
        <f t="shared" si="44"/>
        <v>300000</v>
      </c>
      <c r="AO283" s="94" t="b">
        <v>1</v>
      </c>
      <c r="AP283" s="34">
        <f t="shared" si="40"/>
        <v>300.39999999999998</v>
      </c>
      <c r="AQ283" s="23">
        <f t="shared" si="41"/>
        <v>1</v>
      </c>
      <c r="AR283" s="35" t="s">
        <v>48</v>
      </c>
      <c r="AW283" s="63" t="str">
        <f t="shared" ca="1" si="42"/>
        <v>13:50:00</v>
      </c>
      <c r="AX283" s="173"/>
      <c r="AY283" s="160">
        <v>3</v>
      </c>
      <c r="AZ283" s="10"/>
      <c r="BA283" s="104" t="str">
        <f t="shared" si="43"/>
        <v>ХИМКИ-РОДИОНОВА-7А</v>
      </c>
      <c r="BB283" s="85">
        <f>AP283*2.8+10*60</f>
        <v>1441.12</v>
      </c>
      <c r="BD283" s="123"/>
      <c r="BE283" s="117" t="s">
        <v>1315</v>
      </c>
      <c r="BF283" s="89" t="s">
        <v>1315</v>
      </c>
      <c r="BG283" s="89" t="s">
        <v>1315</v>
      </c>
      <c r="BH283" s="89">
        <v>-8.2866666666666688</v>
      </c>
      <c r="BI283" s="89" t="s">
        <v>1315</v>
      </c>
      <c r="BJ283" s="89" t="s">
        <v>1315</v>
      </c>
      <c r="BK283" s="89" t="s">
        <v>1315</v>
      </c>
      <c r="BL283" s="10" t="s">
        <v>194</v>
      </c>
    </row>
    <row r="284" spans="3:65" ht="15" customHeight="1" x14ac:dyDescent="0.3">
      <c r="C284" s="1">
        <v>311</v>
      </c>
      <c r="D284" s="6">
        <v>65808</v>
      </c>
      <c r="E284" s="6">
        <v>4808</v>
      </c>
      <c r="F284" s="36" t="s">
        <v>1527</v>
      </c>
      <c r="G284" s="8" t="s">
        <v>43</v>
      </c>
      <c r="H284" s="9">
        <v>7.13</v>
      </c>
      <c r="I284" s="9">
        <v>9.18</v>
      </c>
      <c r="J284" s="9" t="s">
        <v>1315</v>
      </c>
      <c r="K284" s="1" t="s">
        <v>1706</v>
      </c>
      <c r="M284" s="2" t="s">
        <v>2026</v>
      </c>
      <c r="N284" s="1">
        <v>1</v>
      </c>
      <c r="O284" s="1">
        <v>4</v>
      </c>
      <c r="P284" s="1" t="s">
        <v>149</v>
      </c>
      <c r="Q284" s="10" t="s">
        <v>423</v>
      </c>
      <c r="R284" t="s">
        <v>2120</v>
      </c>
      <c r="S284" t="s">
        <v>2121</v>
      </c>
      <c r="T284">
        <v>89013249176</v>
      </c>
      <c r="U284" t="s">
        <v>2122</v>
      </c>
      <c r="V284" t="s">
        <v>2123</v>
      </c>
      <c r="W284">
        <v>9934716652</v>
      </c>
      <c r="X284" t="s">
        <v>2117</v>
      </c>
      <c r="Y284" t="s">
        <v>2118</v>
      </c>
      <c r="Z284" t="s">
        <v>2119</v>
      </c>
      <c r="AA284">
        <v>8</v>
      </c>
      <c r="AB284" s="6" t="s">
        <v>886</v>
      </c>
      <c r="AC284" s="2" t="s">
        <v>424</v>
      </c>
      <c r="AF284" s="14" t="s">
        <v>732</v>
      </c>
      <c r="AI284" s="6">
        <v>2</v>
      </c>
      <c r="AJ284" s="114" t="str">
        <f ca="1">IF((WEEKDAY(TODAY(),2))=6,"10:00","09:00")</f>
        <v>09:00</v>
      </c>
      <c r="AK284" s="162">
        <v>0.75</v>
      </c>
      <c r="AL284" s="58" t="str">
        <f t="shared" ca="1" si="39"/>
        <v>09:00 - 18:00</v>
      </c>
      <c r="AM284" s="151">
        <v>1</v>
      </c>
      <c r="AN284" s="95">
        <f t="shared" si="44"/>
        <v>300000</v>
      </c>
      <c r="AO284" s="94" t="b">
        <v>1</v>
      </c>
      <c r="AP284" s="34">
        <f t="shared" si="40"/>
        <v>326.2</v>
      </c>
      <c r="AQ284" s="23">
        <f t="shared" si="41"/>
        <v>1</v>
      </c>
      <c r="AR284" s="35" t="s">
        <v>48</v>
      </c>
      <c r="AW284" s="63" t="str">
        <f t="shared" ca="1" si="42"/>
        <v>14:27:30</v>
      </c>
      <c r="AX284" s="173"/>
      <c r="AY284" s="160">
        <v>3</v>
      </c>
      <c r="AZ284" s="10"/>
      <c r="BA284" s="104" t="str">
        <f t="shared" si="43"/>
        <v>ХИМКИ-ГЕРМАНА-ТИТОВА-10</v>
      </c>
      <c r="BB284" s="85">
        <f>AP284*4.5+10*60</f>
        <v>2067.8999999999996</v>
      </c>
      <c r="BD284" s="123"/>
      <c r="BE284" s="117" t="s">
        <v>1315</v>
      </c>
      <c r="BF284" s="89">
        <v>16.190000000000001</v>
      </c>
      <c r="BG284" s="89" t="s">
        <v>1315</v>
      </c>
      <c r="BH284" s="89" t="s">
        <v>1315</v>
      </c>
      <c r="BI284" s="89" t="s">
        <v>1315</v>
      </c>
      <c r="BJ284" s="89">
        <v>-20.583333333333336</v>
      </c>
      <c r="BK284" s="89" t="s">
        <v>1315</v>
      </c>
      <c r="BL284" s="36" t="s">
        <v>422</v>
      </c>
    </row>
    <row r="285" spans="3:65" ht="15" customHeight="1" x14ac:dyDescent="0.3">
      <c r="C285" s="1">
        <v>312</v>
      </c>
      <c r="D285" s="6">
        <v>50958</v>
      </c>
      <c r="E285" s="6">
        <v>4958</v>
      </c>
      <c r="F285" s="36" t="s">
        <v>1528</v>
      </c>
      <c r="G285" s="8" t="s">
        <v>43</v>
      </c>
      <c r="H285" s="9">
        <v>31.060000000000002</v>
      </c>
      <c r="I285" s="9">
        <v>10.26</v>
      </c>
      <c r="J285" s="9" t="s">
        <v>1315</v>
      </c>
      <c r="K285" s="1" t="s">
        <v>1706</v>
      </c>
      <c r="M285" s="2" t="s">
        <v>1857</v>
      </c>
      <c r="N285" s="1">
        <v>1</v>
      </c>
      <c r="O285" s="1">
        <v>5</v>
      </c>
      <c r="P285" s="1" t="s">
        <v>426</v>
      </c>
      <c r="Q285" s="10" t="s">
        <v>427</v>
      </c>
      <c r="R285" t="s">
        <v>2120</v>
      </c>
      <c r="S285" t="s">
        <v>2121</v>
      </c>
      <c r="T285">
        <v>89013249176</v>
      </c>
      <c r="U285" t="s">
        <v>2122</v>
      </c>
      <c r="V285" t="s">
        <v>2123</v>
      </c>
      <c r="W285">
        <v>9934716652</v>
      </c>
      <c r="X285" t="s">
        <v>2117</v>
      </c>
      <c r="Y285" t="s">
        <v>2118</v>
      </c>
      <c r="Z285" t="s">
        <v>2119</v>
      </c>
      <c r="AA285">
        <v>8</v>
      </c>
      <c r="AB285" s="6" t="s">
        <v>887</v>
      </c>
      <c r="AC285" s="2" t="s">
        <v>428</v>
      </c>
      <c r="AF285" s="153" t="s">
        <v>1672</v>
      </c>
      <c r="AI285" s="6">
        <v>2</v>
      </c>
      <c r="AJ285" s="114" t="str">
        <f ca="1">IF((WEEKDAY(TODAY(),2))=6,"10:00","09:00")</f>
        <v>09:00</v>
      </c>
      <c r="AK285" s="142" t="str">
        <f>IF(AP285&gt;2000,"15:00",IF(AP285&lt;1000,"16:30","16:00"))</f>
        <v>16:30</v>
      </c>
      <c r="AL285" s="58" t="str">
        <f t="shared" ca="1" si="39"/>
        <v>09:00 - 16:30</v>
      </c>
      <c r="AM285" s="151">
        <v>2</v>
      </c>
      <c r="AN285" s="95">
        <f t="shared" si="44"/>
        <v>300000</v>
      </c>
      <c r="AO285" s="94" t="b">
        <v>1</v>
      </c>
      <c r="AP285" s="34">
        <f t="shared" si="40"/>
        <v>826.40000000000009</v>
      </c>
      <c r="AQ285" s="23">
        <f t="shared" si="41"/>
        <v>2</v>
      </c>
      <c r="AR285" s="35" t="s">
        <v>48</v>
      </c>
      <c r="AW285" s="63" t="str">
        <f t="shared" ca="1" si="42"/>
        <v>15:30:46</v>
      </c>
      <c r="AX285" s="173"/>
      <c r="AY285" s="160">
        <v>2</v>
      </c>
      <c r="AZ285" s="10"/>
      <c r="BA285" s="104" t="str">
        <f t="shared" si="43"/>
        <v>ЛОБНЯ-ЛЕНИНА-67</v>
      </c>
      <c r="BB285" s="87">
        <f>AP285*3.5+10*60</f>
        <v>3492.4000000000005</v>
      </c>
      <c r="BD285" s="123"/>
      <c r="BE285" s="117" t="s">
        <v>1315</v>
      </c>
      <c r="BF285" s="89" t="s">
        <v>1315</v>
      </c>
      <c r="BG285" s="89" t="s">
        <v>1315</v>
      </c>
      <c r="BH285" s="89">
        <v>29.61999999999999</v>
      </c>
      <c r="BI285" s="89" t="s">
        <v>1315</v>
      </c>
      <c r="BJ285" s="89">
        <v>-3.1816666666666578</v>
      </c>
      <c r="BK285" s="89" t="s">
        <v>1315</v>
      </c>
      <c r="BL285" s="36" t="s">
        <v>425</v>
      </c>
    </row>
    <row r="286" spans="3:65" ht="15" customHeight="1" x14ac:dyDescent="0.3">
      <c r="C286" s="1">
        <v>252</v>
      </c>
      <c r="D286" s="6">
        <v>50919</v>
      </c>
      <c r="E286" s="6">
        <v>4919</v>
      </c>
      <c r="F286" s="36" t="s">
        <v>1513</v>
      </c>
      <c r="G286" s="8" t="s">
        <v>43</v>
      </c>
      <c r="H286" s="9">
        <v>41.839999999999996</v>
      </c>
      <c r="I286" s="9">
        <v>14.03</v>
      </c>
      <c r="J286" s="9" t="s">
        <v>1820</v>
      </c>
      <c r="K286" s="1" t="s">
        <v>1768</v>
      </c>
      <c r="M286" s="2" t="s">
        <v>2009</v>
      </c>
      <c r="N286" s="1">
        <v>1</v>
      </c>
      <c r="O286" s="1">
        <v>1</v>
      </c>
      <c r="P286" s="1" t="s">
        <v>128</v>
      </c>
      <c r="Q286" s="10" t="s">
        <v>395</v>
      </c>
      <c r="R286" t="s">
        <v>2124</v>
      </c>
      <c r="S286" t="s">
        <v>2125</v>
      </c>
      <c r="T286">
        <v>89775583078</v>
      </c>
      <c r="U286" t="s">
        <v>2122</v>
      </c>
      <c r="V286" t="s">
        <v>2126</v>
      </c>
      <c r="W286">
        <v>9938346474</v>
      </c>
      <c r="X286" t="s">
        <v>2117</v>
      </c>
      <c r="Y286" t="s">
        <v>2118</v>
      </c>
      <c r="Z286" t="s">
        <v>2119</v>
      </c>
      <c r="AA286">
        <v>8</v>
      </c>
      <c r="AB286" s="6" t="s">
        <v>861</v>
      </c>
      <c r="AC286" s="2" t="s">
        <v>396</v>
      </c>
      <c r="AD286" s="48" t="s">
        <v>1153</v>
      </c>
      <c r="AE286" s="48" t="s">
        <v>1154</v>
      </c>
      <c r="AF286" s="53" t="s">
        <v>1672</v>
      </c>
      <c r="AI286" s="6">
        <v>2</v>
      </c>
      <c r="AJ286" s="114" t="str">
        <f ca="1">IF((WEEKDAY(TODAY(),2))=6,"10:00","09:30")</f>
        <v>09:30</v>
      </c>
      <c r="AK286" s="58">
        <v>0.54166666666666696</v>
      </c>
      <c r="AL286" s="58" t="str">
        <f t="shared" ca="1" si="39"/>
        <v>09:30 - 13:00</v>
      </c>
      <c r="AM286" s="151">
        <v>1</v>
      </c>
      <c r="AN286" s="95">
        <f t="shared" si="44"/>
        <v>357567.99999999994</v>
      </c>
      <c r="AO286" s="94" t="b">
        <v>1</v>
      </c>
      <c r="AP286" s="34">
        <f t="shared" si="40"/>
        <v>1117.3999999999999</v>
      </c>
      <c r="AQ286" s="23">
        <f t="shared" si="41"/>
        <v>3</v>
      </c>
      <c r="AR286" s="35" t="s">
        <v>48</v>
      </c>
      <c r="AW286" s="63" t="str">
        <f t="shared" ca="1" si="42"/>
        <v>09:59:51</v>
      </c>
      <c r="AX286" s="173"/>
      <c r="AY286" s="160">
        <v>1</v>
      </c>
      <c r="AZ286" s="10"/>
      <c r="BA286" s="104" t="str">
        <f t="shared" si="43"/>
        <v>КРАСНОГОРСК-НАР-ОПОЛЧЕНИЯ-1К1</v>
      </c>
      <c r="BB286" s="85">
        <f>AP286*3+10*60</f>
        <v>3952.2</v>
      </c>
      <c r="BD286" s="123"/>
      <c r="BE286" s="117" t="s">
        <v>1315</v>
      </c>
      <c r="BF286" s="89">
        <v>-7.0666666666666664</v>
      </c>
      <c r="BG286" s="89">
        <v>14.469999999999999</v>
      </c>
      <c r="BH286" s="89">
        <v>31.343333333333341</v>
      </c>
      <c r="BI286" s="89" t="s">
        <v>1315</v>
      </c>
      <c r="BJ286" s="89" t="s">
        <v>1315</v>
      </c>
      <c r="BK286" s="89" t="s">
        <v>1315</v>
      </c>
      <c r="BL286" s="36" t="s">
        <v>394</v>
      </c>
    </row>
    <row r="287" spans="3:65" ht="15" customHeight="1" x14ac:dyDescent="0.3">
      <c r="C287" s="1">
        <v>228</v>
      </c>
      <c r="D287" s="6">
        <v>65897</v>
      </c>
      <c r="E287" s="6">
        <v>4897</v>
      </c>
      <c r="F287" s="36" t="s">
        <v>1505</v>
      </c>
      <c r="G287" s="8" t="s">
        <v>43</v>
      </c>
      <c r="H287" s="9">
        <v>32.07</v>
      </c>
      <c r="I287" s="9">
        <v>9.42</v>
      </c>
      <c r="J287" s="9" t="s">
        <v>1315</v>
      </c>
      <c r="K287" s="1" t="s">
        <v>1768</v>
      </c>
      <c r="M287" s="2" t="s">
        <v>2008</v>
      </c>
      <c r="N287" s="1">
        <v>1</v>
      </c>
      <c r="O287" s="1">
        <v>2</v>
      </c>
      <c r="P287" s="1" t="s">
        <v>123</v>
      </c>
      <c r="Q287" s="1" t="s">
        <v>125</v>
      </c>
      <c r="R287" t="s">
        <v>2124</v>
      </c>
      <c r="S287" t="s">
        <v>2125</v>
      </c>
      <c r="T287">
        <v>89775583078</v>
      </c>
      <c r="U287" t="s">
        <v>2122</v>
      </c>
      <c r="V287" t="s">
        <v>2126</v>
      </c>
      <c r="W287">
        <v>9938346474</v>
      </c>
      <c r="X287" t="s">
        <v>2117</v>
      </c>
      <c r="Y287" t="s">
        <v>2118</v>
      </c>
      <c r="Z287" t="s">
        <v>2119</v>
      </c>
      <c r="AA287">
        <v>8</v>
      </c>
      <c r="AB287" s="6" t="s">
        <v>851</v>
      </c>
      <c r="AC287" s="2" t="s">
        <v>126</v>
      </c>
      <c r="AF287" s="14" t="s">
        <v>732</v>
      </c>
      <c r="AH287" s="25"/>
      <c r="AI287" s="6">
        <v>2</v>
      </c>
      <c r="AJ287" s="114" t="str">
        <f ca="1">IF((WEEKDAY(TODAY(),2))=6,"10:00","09:30")</f>
        <v>09:30</v>
      </c>
      <c r="AK287" s="58">
        <v>0.54166666666666696</v>
      </c>
      <c r="AL287" s="58" t="str">
        <f t="shared" ca="1" si="39"/>
        <v>09:30 - 13:00</v>
      </c>
      <c r="AM287" s="151">
        <v>1</v>
      </c>
      <c r="AN287" s="95">
        <f t="shared" si="44"/>
        <v>300000</v>
      </c>
      <c r="AO287" s="94" t="b">
        <v>1</v>
      </c>
      <c r="AP287" s="34">
        <f t="shared" si="40"/>
        <v>829.8</v>
      </c>
      <c r="AQ287" s="23">
        <f t="shared" si="41"/>
        <v>2</v>
      </c>
      <c r="AR287" s="35" t="s">
        <v>48</v>
      </c>
      <c r="AW287" s="63" t="str">
        <f t="shared" ca="1" si="42"/>
        <v>11:15:04</v>
      </c>
      <c r="AX287" s="173"/>
      <c r="AY287" s="160">
        <v>1</v>
      </c>
      <c r="AZ287" s="10"/>
      <c r="BA287" s="104" t="str">
        <f t="shared" si="43"/>
        <v>КРАСНОГОРСК-ВИДНАЯ-2</v>
      </c>
      <c r="BB287" s="87">
        <f>AP287*3.5+10*60</f>
        <v>3504.2999999999997</v>
      </c>
      <c r="BD287" s="123"/>
      <c r="BE287" s="117">
        <v>-1.1166666666666636</v>
      </c>
      <c r="BF287" s="89" t="s">
        <v>1315</v>
      </c>
      <c r="BG287" s="89">
        <v>13.50833333333334</v>
      </c>
      <c r="BH287" s="89" t="s">
        <v>1315</v>
      </c>
      <c r="BI287" s="89" t="s">
        <v>1315</v>
      </c>
      <c r="BJ287" s="89" t="s">
        <v>1315</v>
      </c>
      <c r="BK287" s="89" t="s">
        <v>1315</v>
      </c>
      <c r="BL287" s="36" t="s">
        <v>124</v>
      </c>
      <c r="BM287" s="125"/>
    </row>
    <row r="288" spans="3:65" ht="15" customHeight="1" x14ac:dyDescent="0.3">
      <c r="C288" s="1">
        <v>226</v>
      </c>
      <c r="D288" s="6">
        <v>7247</v>
      </c>
      <c r="E288" s="6">
        <v>4247</v>
      </c>
      <c r="F288" s="59" t="s">
        <v>1504</v>
      </c>
      <c r="G288" s="8" t="s">
        <v>50</v>
      </c>
      <c r="H288" s="9">
        <v>40.4</v>
      </c>
      <c r="I288" s="9">
        <v>10.42</v>
      </c>
      <c r="J288" s="9" t="s">
        <v>1315</v>
      </c>
      <c r="K288" s="1" t="s">
        <v>1768</v>
      </c>
      <c r="L288" s="111"/>
      <c r="M288" s="2" t="s">
        <v>2069</v>
      </c>
      <c r="N288" s="1">
        <v>1</v>
      </c>
      <c r="O288" s="1">
        <v>3</v>
      </c>
      <c r="P288" s="1" t="s">
        <v>51</v>
      </c>
      <c r="Q288" s="2" t="s">
        <v>1351</v>
      </c>
      <c r="R288" t="s">
        <v>2124</v>
      </c>
      <c r="S288" t="s">
        <v>2125</v>
      </c>
      <c r="T288">
        <v>89775583078</v>
      </c>
      <c r="U288" t="s">
        <v>2122</v>
      </c>
      <c r="V288" t="s">
        <v>2126</v>
      </c>
      <c r="W288">
        <v>9938346474</v>
      </c>
      <c r="X288" t="s">
        <v>2117</v>
      </c>
      <c r="Y288" t="s">
        <v>2118</v>
      </c>
      <c r="Z288" t="s">
        <v>2119</v>
      </c>
      <c r="AA288">
        <v>8</v>
      </c>
      <c r="AB288" s="6" t="s">
        <v>850</v>
      </c>
      <c r="AC288" s="2" t="s">
        <v>1352</v>
      </c>
      <c r="AF288" s="153" t="s">
        <v>1672</v>
      </c>
      <c r="AI288" s="6">
        <v>2</v>
      </c>
      <c r="AJ288" s="13" t="s">
        <v>1329</v>
      </c>
      <c r="AK288" s="58">
        <v>0.54166666666666696</v>
      </c>
      <c r="AL288" s="58" t="str">
        <f t="shared" si="39"/>
        <v>09:30 - 13:00</v>
      </c>
      <c r="AM288" s="151">
        <v>1</v>
      </c>
      <c r="AN288" s="95">
        <f t="shared" si="44"/>
        <v>325248</v>
      </c>
      <c r="AO288" s="94" t="b">
        <v>1</v>
      </c>
      <c r="AP288" s="34">
        <f t="shared" si="40"/>
        <v>1016.4</v>
      </c>
      <c r="AQ288" s="23">
        <f t="shared" si="41"/>
        <v>2</v>
      </c>
      <c r="AR288" s="35" t="s">
        <v>48</v>
      </c>
      <c r="AW288" s="63" t="str">
        <f t="shared" si="42"/>
        <v>12:24:33</v>
      </c>
      <c r="AX288" s="173"/>
      <c r="AY288" s="160">
        <v>1</v>
      </c>
      <c r="AZ288" s="10"/>
      <c r="BA288" s="104" t="str">
        <f t="shared" si="43"/>
        <v>МИТИНСКАЯ-27А</v>
      </c>
      <c r="BB288" s="87">
        <f>AP288*4+10*60</f>
        <v>4665.6000000000004</v>
      </c>
      <c r="BD288" s="123"/>
      <c r="BE288" s="117" t="s">
        <v>1315</v>
      </c>
      <c r="BF288" s="89" t="s">
        <v>1315</v>
      </c>
      <c r="BG288" s="89" t="s">
        <v>1315</v>
      </c>
      <c r="BH288" s="89" t="s">
        <v>1315</v>
      </c>
      <c r="BI288" s="89" t="s">
        <v>1315</v>
      </c>
      <c r="BJ288" s="89" t="s">
        <v>1315</v>
      </c>
      <c r="BK288" s="89">
        <v>-11.599999999999994</v>
      </c>
      <c r="BL288" s="59" t="s">
        <v>1350</v>
      </c>
    </row>
    <row r="289" spans="1:65" ht="15" customHeight="1" x14ac:dyDescent="0.3">
      <c r="C289" s="1">
        <v>245</v>
      </c>
      <c r="D289" s="6">
        <v>507171</v>
      </c>
      <c r="E289" s="6">
        <v>4171</v>
      </c>
      <c r="F289" s="54" t="s">
        <v>1511</v>
      </c>
      <c r="G289" s="8" t="s">
        <v>43</v>
      </c>
      <c r="H289" s="9">
        <v>48.180000000000007</v>
      </c>
      <c r="I289" s="9">
        <v>11.13</v>
      </c>
      <c r="J289" s="9" t="s">
        <v>1827</v>
      </c>
      <c r="K289" s="1" t="s">
        <v>1771</v>
      </c>
      <c r="L289" s="60"/>
      <c r="M289" s="2" t="s">
        <v>2024</v>
      </c>
      <c r="N289" s="1">
        <v>1</v>
      </c>
      <c r="O289" s="1">
        <v>1</v>
      </c>
      <c r="P289" s="1" t="s">
        <v>128</v>
      </c>
      <c r="Q289" s="10" t="s">
        <v>1321</v>
      </c>
      <c r="R289" t="s">
        <v>2127</v>
      </c>
      <c r="S289" t="s">
        <v>2128</v>
      </c>
      <c r="T289" t="s">
        <v>2129</v>
      </c>
      <c r="U289" t="s">
        <v>2130</v>
      </c>
      <c r="V289" t="s">
        <v>2131</v>
      </c>
      <c r="W289" t="s">
        <v>2132</v>
      </c>
      <c r="X289" t="s">
        <v>2117</v>
      </c>
      <c r="Y289" t="s">
        <v>2118</v>
      </c>
      <c r="Z289" t="s">
        <v>2119</v>
      </c>
      <c r="AA289">
        <v>8</v>
      </c>
      <c r="AB289" s="6" t="s">
        <v>858</v>
      </c>
      <c r="AC289" s="2" t="s">
        <v>1322</v>
      </c>
      <c r="AF289" s="53" t="s">
        <v>1672</v>
      </c>
      <c r="AI289" s="6">
        <v>2</v>
      </c>
      <c r="AJ289" s="114" t="str">
        <f ca="1">IF((WEEKDAY(TODAY(),2))=6,"10:00","09:30")</f>
        <v>09:30</v>
      </c>
      <c r="AK289" s="58">
        <v>0.54166666666666696</v>
      </c>
      <c r="AL289" s="58" t="str">
        <f t="shared" ca="1" si="39"/>
        <v>09:30 - 13:00</v>
      </c>
      <c r="AM289" s="151">
        <v>1</v>
      </c>
      <c r="AN289" s="95">
        <f t="shared" si="44"/>
        <v>379584.00000000012</v>
      </c>
      <c r="AO289" s="94" t="b">
        <v>1</v>
      </c>
      <c r="AP289" s="34">
        <f t="shared" si="40"/>
        <v>1186.2000000000003</v>
      </c>
      <c r="AQ289" s="23">
        <f t="shared" si="41"/>
        <v>3</v>
      </c>
      <c r="AR289" s="35" t="s">
        <v>48</v>
      </c>
      <c r="AW289" s="63" t="str">
        <f t="shared" ca="1" si="42"/>
        <v>09:31:52</v>
      </c>
      <c r="AX289" s="173"/>
      <c r="AY289" s="160">
        <v>1</v>
      </c>
      <c r="AZ289" s="10"/>
      <c r="BA289" s="104" t="str">
        <f t="shared" si="43"/>
        <v>КРАСНОГОРСК-ПАВШИНСКИЙ-Б-Р-17</v>
      </c>
      <c r="BB289" s="87">
        <f>AP289*3.5+10*60</f>
        <v>4751.7000000000007</v>
      </c>
      <c r="BD289" s="123"/>
      <c r="BE289" s="117" t="s">
        <v>1315</v>
      </c>
      <c r="BF289" s="89" t="s">
        <v>1315</v>
      </c>
      <c r="BG289" s="89">
        <v>-13.466666666666676</v>
      </c>
      <c r="BH289" s="89" t="s">
        <v>1315</v>
      </c>
      <c r="BI289" s="89" t="s">
        <v>1315</v>
      </c>
      <c r="BJ289" s="89" t="s">
        <v>1315</v>
      </c>
      <c r="BK289" s="89" t="s">
        <v>1315</v>
      </c>
      <c r="BL289" s="54" t="s">
        <v>1320</v>
      </c>
    </row>
    <row r="290" spans="1:65" ht="15" customHeight="1" x14ac:dyDescent="0.3">
      <c r="C290" s="1">
        <v>221</v>
      </c>
      <c r="D290" s="6">
        <v>507168</v>
      </c>
      <c r="E290" s="6">
        <v>4168</v>
      </c>
      <c r="F290" s="54" t="s">
        <v>1670</v>
      </c>
      <c r="G290" s="8" t="s">
        <v>43</v>
      </c>
      <c r="H290" s="9">
        <v>64.78</v>
      </c>
      <c r="I290" s="9">
        <v>22.11</v>
      </c>
      <c r="J290" s="9" t="s">
        <v>1315</v>
      </c>
      <c r="K290" s="1" t="s">
        <v>1771</v>
      </c>
      <c r="M290" s="2" t="s">
        <v>2067</v>
      </c>
      <c r="N290" s="1">
        <v>1</v>
      </c>
      <c r="O290" s="1">
        <v>2</v>
      </c>
      <c r="P290" s="1" t="s">
        <v>123</v>
      </c>
      <c r="Q290" s="10" t="s">
        <v>1138</v>
      </c>
      <c r="R290" t="s">
        <v>2127</v>
      </c>
      <c r="S290" t="s">
        <v>2128</v>
      </c>
      <c r="T290" t="s">
        <v>2129</v>
      </c>
      <c r="U290" t="s">
        <v>2130</v>
      </c>
      <c r="V290" t="s">
        <v>2131</v>
      </c>
      <c r="W290" t="s">
        <v>2132</v>
      </c>
      <c r="X290" t="s">
        <v>2117</v>
      </c>
      <c r="Y290" t="s">
        <v>2118</v>
      </c>
      <c r="Z290" t="s">
        <v>2119</v>
      </c>
      <c r="AA290">
        <v>8</v>
      </c>
      <c r="AB290" s="6" t="s">
        <v>848</v>
      </c>
      <c r="AC290" s="2" t="s">
        <v>1140</v>
      </c>
      <c r="AF290" s="153" t="s">
        <v>1672</v>
      </c>
      <c r="AI290" s="6">
        <v>2</v>
      </c>
      <c r="AJ290" s="114" t="str">
        <f ca="1">IF((WEEKDAY(TODAY(),2))=6,"10:00","09:30")</f>
        <v>09:30</v>
      </c>
      <c r="AK290" s="58">
        <v>0.54166666666666696</v>
      </c>
      <c r="AL290" s="58" t="str">
        <f t="shared" ca="1" si="39"/>
        <v>09:30 - 13:00</v>
      </c>
      <c r="AM290" s="151">
        <v>1</v>
      </c>
      <c r="AN290" s="95">
        <f t="shared" si="44"/>
        <v>556096</v>
      </c>
      <c r="AO290" s="94" t="b">
        <v>1</v>
      </c>
      <c r="AP290" s="34">
        <f t="shared" si="40"/>
        <v>1737.8</v>
      </c>
      <c r="AQ290" s="23">
        <f t="shared" si="41"/>
        <v>4</v>
      </c>
      <c r="AR290" s="35" t="s">
        <v>48</v>
      </c>
      <c r="AW290" s="63" t="str">
        <f t="shared" ca="1" si="42"/>
        <v>11:37:04</v>
      </c>
      <c r="AX290" s="173"/>
      <c r="AY290" s="160">
        <v>1</v>
      </c>
      <c r="AZ290" s="10"/>
      <c r="BA290" s="104" t="str">
        <f t="shared" si="43"/>
        <v>КРАСНОГОРСК_САБУРОВО-53Б</v>
      </c>
      <c r="BB290" s="87">
        <f>AP290*3.5+10*60</f>
        <v>6682.3</v>
      </c>
      <c r="BD290" s="123"/>
      <c r="BE290" s="117" t="s">
        <v>1315</v>
      </c>
      <c r="BF290" s="89" t="s">
        <v>1315</v>
      </c>
      <c r="BG290" s="89" t="s">
        <v>1315</v>
      </c>
      <c r="BH290" s="89" t="s">
        <v>1315</v>
      </c>
      <c r="BI290" s="89">
        <v>-4.8766666666666652</v>
      </c>
      <c r="BJ290" s="89" t="s">
        <v>1315</v>
      </c>
      <c r="BK290" s="89" t="s">
        <v>1315</v>
      </c>
      <c r="BL290" s="54" t="s">
        <v>1141</v>
      </c>
    </row>
    <row r="291" spans="1:65" s="125" customFormat="1" ht="15" customHeight="1" x14ac:dyDescent="0.3">
      <c r="A291" s="1"/>
      <c r="B291" s="1"/>
      <c r="C291" s="1">
        <v>109</v>
      </c>
      <c r="D291" s="6">
        <v>756</v>
      </c>
      <c r="E291" s="6">
        <v>4756</v>
      </c>
      <c r="F291" s="1" t="s">
        <v>1465</v>
      </c>
      <c r="G291" s="8" t="s">
        <v>50</v>
      </c>
      <c r="H291" s="9">
        <v>25.44</v>
      </c>
      <c r="I291" s="9">
        <v>4.46</v>
      </c>
      <c r="J291" s="9" t="s">
        <v>2085</v>
      </c>
      <c r="K291" s="1" t="s">
        <v>1773</v>
      </c>
      <c r="L291" s="2"/>
      <c r="M291" s="2" t="s">
        <v>2072</v>
      </c>
      <c r="N291" s="1">
        <v>1</v>
      </c>
      <c r="O291" s="1">
        <v>1</v>
      </c>
      <c r="P291" s="1" t="s">
        <v>51</v>
      </c>
      <c r="Q291" s="10" t="s">
        <v>90</v>
      </c>
      <c r="R291" t="s">
        <v>2094</v>
      </c>
      <c r="S291" t="s">
        <v>2095</v>
      </c>
      <c r="T291" t="s">
        <v>2096</v>
      </c>
      <c r="U291" t="s">
        <v>2097</v>
      </c>
      <c r="V291" t="s">
        <v>2098</v>
      </c>
      <c r="W291">
        <v>9978972771</v>
      </c>
      <c r="X291" t="s">
        <v>2099</v>
      </c>
      <c r="Y291" t="s">
        <v>2100</v>
      </c>
      <c r="Z291" t="s">
        <v>2101</v>
      </c>
      <c r="AA291">
        <v>12</v>
      </c>
      <c r="AB291" s="6" t="s">
        <v>792</v>
      </c>
      <c r="AC291" s="2" t="s">
        <v>91</v>
      </c>
      <c r="AD291" s="48"/>
      <c r="AE291" s="48"/>
      <c r="AF291" s="153" t="s">
        <v>1672</v>
      </c>
      <c r="AG291" s="5"/>
      <c r="AH291" s="5"/>
      <c r="AI291" s="6">
        <v>2</v>
      </c>
      <c r="AJ291" s="115" t="str">
        <f ca="1">IF((WEEKDAY(TODAY(),2))=6,"09:30","08:30")</f>
        <v>08:30</v>
      </c>
      <c r="AK291" s="115" t="str">
        <f ca="1">IF((WEEKDAY(TODAY(),2))=6,"14:00","11:00")</f>
        <v>11:00</v>
      </c>
      <c r="AL291" s="58" t="str">
        <f t="shared" ca="1" si="39"/>
        <v>08:30 - 11:00</v>
      </c>
      <c r="AM291" s="151">
        <v>5</v>
      </c>
      <c r="AN291" s="95">
        <f t="shared" si="44"/>
        <v>300000</v>
      </c>
      <c r="AO291" s="94" t="b">
        <v>1</v>
      </c>
      <c r="AP291" s="34">
        <f t="shared" si="40"/>
        <v>598</v>
      </c>
      <c r="AQ291" s="23">
        <f t="shared" si="41"/>
        <v>2</v>
      </c>
      <c r="AR291" s="35" t="s">
        <v>48</v>
      </c>
      <c r="AS291" s="1"/>
      <c r="AT291" s="1"/>
      <c r="AU291" s="46"/>
      <c r="AV291" s="1"/>
      <c r="AW291" s="63" t="str">
        <f t="shared" ca="1" si="42"/>
        <v>08:34:07</v>
      </c>
      <c r="AX291" s="10"/>
      <c r="AY291" s="160">
        <v>2</v>
      </c>
      <c r="AZ291" s="10"/>
      <c r="BA291" s="104" t="str">
        <f t="shared" si="43"/>
        <v>ЭЛЕКТРОЛИТНЫЙ-ПР-Д-16К7</v>
      </c>
      <c r="BB291" s="91">
        <f>AP291*4+10*60</f>
        <v>2992</v>
      </c>
      <c r="BC291" s="110"/>
      <c r="BD291" s="123"/>
      <c r="BE291" s="117">
        <v>-32.533333333333317</v>
      </c>
      <c r="BF291" s="89">
        <v>1.8333333333333357</v>
      </c>
      <c r="BG291" s="89" t="s">
        <v>1315</v>
      </c>
      <c r="BH291" s="89">
        <v>-13.236666666666657</v>
      </c>
      <c r="BI291" s="89" t="s">
        <v>1315</v>
      </c>
      <c r="BJ291" s="89" t="s">
        <v>1315</v>
      </c>
      <c r="BK291" s="89" t="s">
        <v>1315</v>
      </c>
      <c r="BL291" s="1" t="s">
        <v>89</v>
      </c>
      <c r="BM291" s="1"/>
    </row>
    <row r="292" spans="1:65" ht="15" customHeight="1" x14ac:dyDescent="0.3">
      <c r="C292" s="1">
        <v>516</v>
      </c>
      <c r="D292" s="6">
        <v>812</v>
      </c>
      <c r="E292" s="6">
        <v>4812</v>
      </c>
      <c r="F292" s="10" t="s">
        <v>1600</v>
      </c>
      <c r="G292" s="8" t="s">
        <v>50</v>
      </c>
      <c r="H292" s="9">
        <v>14.34</v>
      </c>
      <c r="I292" s="9">
        <v>5.9</v>
      </c>
      <c r="J292" s="9" t="s">
        <v>1315</v>
      </c>
      <c r="K292" s="1" t="s">
        <v>1773</v>
      </c>
      <c r="M292" s="2" t="s">
        <v>2041</v>
      </c>
      <c r="N292" s="1">
        <v>1</v>
      </c>
      <c r="O292" s="1">
        <v>2</v>
      </c>
      <c r="P292" s="1" t="s">
        <v>51</v>
      </c>
      <c r="Q292" s="10" t="s">
        <v>157</v>
      </c>
      <c r="R292" t="s">
        <v>2094</v>
      </c>
      <c r="S292" t="s">
        <v>2095</v>
      </c>
      <c r="T292" t="s">
        <v>2096</v>
      </c>
      <c r="U292" t="s">
        <v>2097</v>
      </c>
      <c r="V292" t="s">
        <v>2098</v>
      </c>
      <c r="W292">
        <v>9978972771</v>
      </c>
      <c r="X292" t="s">
        <v>2099</v>
      </c>
      <c r="Y292" t="s">
        <v>2100</v>
      </c>
      <c r="Z292" t="s">
        <v>2101</v>
      </c>
      <c r="AA292">
        <v>12</v>
      </c>
      <c r="AB292" s="6" t="s">
        <v>1103</v>
      </c>
      <c r="AC292" s="2" t="s">
        <v>158</v>
      </c>
      <c r="AD292" s="48" t="s">
        <v>1177</v>
      </c>
      <c r="AE292" s="48" t="s">
        <v>1178</v>
      </c>
      <c r="AF292" s="169" t="s">
        <v>1672</v>
      </c>
      <c r="AI292" s="6">
        <v>2</v>
      </c>
      <c r="AJ292" s="13" t="s">
        <v>1329</v>
      </c>
      <c r="AK292" s="142" t="str">
        <f>IF(AP292&gt;2000,"15:00",IF(AP292&lt;1000,"16:30","16:00"))</f>
        <v>16:30</v>
      </c>
      <c r="AL292" s="58" t="str">
        <f t="shared" si="39"/>
        <v>09:30 - 16:30</v>
      </c>
      <c r="AM292" s="151">
        <v>4</v>
      </c>
      <c r="AN292" s="95">
        <f t="shared" si="44"/>
        <v>300000</v>
      </c>
      <c r="AO292" s="94" t="b">
        <v>1</v>
      </c>
      <c r="AP292" s="34">
        <f t="shared" si="40"/>
        <v>404.8</v>
      </c>
      <c r="AQ292" s="23">
        <f t="shared" si="41"/>
        <v>1</v>
      </c>
      <c r="AR292" s="35" t="s">
        <v>48</v>
      </c>
      <c r="AW292" s="63" t="str">
        <f t="shared" si="42"/>
        <v>09:52:36</v>
      </c>
      <c r="AX292" s="10"/>
      <c r="AY292" s="160">
        <v>2</v>
      </c>
      <c r="AZ292" s="10"/>
      <c r="BA292" s="104" t="str">
        <f t="shared" si="43"/>
        <v>КОРАБЕЛЬНАЯ-17</v>
      </c>
      <c r="BB292" s="85">
        <f>AP292*3.3+10*60</f>
        <v>1935.84</v>
      </c>
      <c r="BD292" s="123"/>
      <c r="BE292" s="117" t="s">
        <v>1315</v>
      </c>
      <c r="BF292" s="89">
        <v>-7.1003333333333281</v>
      </c>
      <c r="BG292" s="89">
        <v>-9.6703333333333461</v>
      </c>
      <c r="BH292" s="89" t="s">
        <v>1315</v>
      </c>
      <c r="BI292" s="89" t="s">
        <v>1315</v>
      </c>
      <c r="BJ292" s="89">
        <v>-0.91233333333333633</v>
      </c>
      <c r="BK292" s="89" t="s">
        <v>1315</v>
      </c>
      <c r="BL292" s="10" t="s">
        <v>156</v>
      </c>
    </row>
    <row r="293" spans="1:65" s="125" customFormat="1" ht="15" customHeight="1" x14ac:dyDescent="0.3">
      <c r="A293" s="1"/>
      <c r="B293" s="1"/>
      <c r="C293" s="1">
        <v>35</v>
      </c>
      <c r="D293" s="6">
        <v>25959</v>
      </c>
      <c r="E293" s="6">
        <v>4959</v>
      </c>
      <c r="F293" s="1" t="s">
        <v>1378</v>
      </c>
      <c r="G293" s="8" t="s">
        <v>43</v>
      </c>
      <c r="H293" s="9">
        <v>56.88</v>
      </c>
      <c r="I293" s="9">
        <v>14.129999999999999</v>
      </c>
      <c r="J293" s="9" t="s">
        <v>1315</v>
      </c>
      <c r="K293" s="1" t="s">
        <v>1773</v>
      </c>
      <c r="L293" s="2"/>
      <c r="M293" s="2" t="s">
        <v>2074</v>
      </c>
      <c r="N293" s="1">
        <v>1</v>
      </c>
      <c r="O293" s="1">
        <v>3</v>
      </c>
      <c r="P293" s="1" t="s">
        <v>236</v>
      </c>
      <c r="Q293" s="10" t="s">
        <v>240</v>
      </c>
      <c r="R293" t="s">
        <v>2094</v>
      </c>
      <c r="S293" t="s">
        <v>2095</v>
      </c>
      <c r="T293" t="s">
        <v>2096</v>
      </c>
      <c r="U293" t="s">
        <v>2097</v>
      </c>
      <c r="V293" t="s">
        <v>2098</v>
      </c>
      <c r="W293">
        <v>9978972771</v>
      </c>
      <c r="X293" t="s">
        <v>2099</v>
      </c>
      <c r="Y293" t="s">
        <v>2100</v>
      </c>
      <c r="Z293" t="s">
        <v>2101</v>
      </c>
      <c r="AA293">
        <v>12</v>
      </c>
      <c r="AB293" s="6" t="s">
        <v>754</v>
      </c>
      <c r="AC293" s="2" t="s">
        <v>241</v>
      </c>
      <c r="AD293" s="48"/>
      <c r="AE293" s="48"/>
      <c r="AF293" s="156" t="s">
        <v>1681</v>
      </c>
      <c r="AG293" s="5"/>
      <c r="AH293" s="5"/>
      <c r="AI293" s="6">
        <v>2</v>
      </c>
      <c r="AJ293" s="114" t="str">
        <f ca="1">IF((WEEKDAY(TODAY(),2))=6,"10:00","09:30")</f>
        <v>09:30</v>
      </c>
      <c r="AK293" s="58">
        <v>0.54166666666666696</v>
      </c>
      <c r="AL293" s="58" t="str">
        <f t="shared" ca="1" si="39"/>
        <v>09:30 - 13:00</v>
      </c>
      <c r="AM293" s="151">
        <v>3</v>
      </c>
      <c r="AN293" s="95">
        <f t="shared" si="44"/>
        <v>454464</v>
      </c>
      <c r="AO293" s="94" t="b">
        <v>1</v>
      </c>
      <c r="AP293" s="34">
        <f t="shared" si="40"/>
        <v>1420.2</v>
      </c>
      <c r="AQ293" s="23">
        <f t="shared" si="41"/>
        <v>3</v>
      </c>
      <c r="AR293" s="35" t="s">
        <v>48</v>
      </c>
      <c r="AS293" s="1"/>
      <c r="AT293" s="1"/>
      <c r="AU293" s="46"/>
      <c r="AV293" s="1"/>
      <c r="AW293" s="63" t="str">
        <f t="shared" ca="1" si="42"/>
        <v>11:06:51</v>
      </c>
      <c r="AX293" s="10"/>
      <c r="AY293" s="160">
        <v>1</v>
      </c>
      <c r="AZ293" s="10"/>
      <c r="BA293" s="104" t="str">
        <f t="shared" si="43"/>
        <v>ЛЮБЕРЦЫ-ЛЁТ-ЛАРЮШИНА-18</v>
      </c>
      <c r="BB293" s="87">
        <f>AP293*3.5+10*60</f>
        <v>5570.7</v>
      </c>
      <c r="BC293" s="110"/>
      <c r="BD293" s="123"/>
      <c r="BE293" s="117" t="s">
        <v>1315</v>
      </c>
      <c r="BF293" s="89">
        <v>-0.83833333333332405</v>
      </c>
      <c r="BG293" s="89" t="s">
        <v>1315</v>
      </c>
      <c r="BH293" s="89" t="s">
        <v>1315</v>
      </c>
      <c r="BI293" s="89" t="s">
        <v>1315</v>
      </c>
      <c r="BJ293" s="89" t="s">
        <v>1315</v>
      </c>
      <c r="BK293" s="89" t="s">
        <v>1315</v>
      </c>
      <c r="BL293" s="1" t="s">
        <v>239</v>
      </c>
      <c r="BM293" s="1"/>
    </row>
    <row r="294" spans="1:65" s="69" customFormat="1" ht="15" customHeight="1" x14ac:dyDescent="0.3">
      <c r="A294" s="1"/>
      <c r="B294" s="1"/>
      <c r="C294" s="1">
        <v>50</v>
      </c>
      <c r="D294" s="6">
        <v>257070</v>
      </c>
      <c r="E294" s="6">
        <v>4070</v>
      </c>
      <c r="F294" s="11" t="s">
        <v>1384</v>
      </c>
      <c r="G294" s="1" t="s">
        <v>43</v>
      </c>
      <c r="H294" s="9">
        <v>32.25</v>
      </c>
      <c r="I294" s="9">
        <v>8.52</v>
      </c>
      <c r="J294" s="9" t="s">
        <v>1315</v>
      </c>
      <c r="K294" s="1" t="s">
        <v>1773</v>
      </c>
      <c r="L294" s="2"/>
      <c r="M294" s="2" t="s">
        <v>2073</v>
      </c>
      <c r="N294" s="1">
        <v>1</v>
      </c>
      <c r="O294" s="1">
        <v>4</v>
      </c>
      <c r="P294" s="1" t="s">
        <v>248</v>
      </c>
      <c r="Q294" s="1" t="s">
        <v>960</v>
      </c>
      <c r="R294" t="s">
        <v>2094</v>
      </c>
      <c r="S294" t="s">
        <v>2095</v>
      </c>
      <c r="T294" t="s">
        <v>2096</v>
      </c>
      <c r="U294" t="s">
        <v>2097</v>
      </c>
      <c r="V294" t="s">
        <v>2098</v>
      </c>
      <c r="W294">
        <v>9978972771</v>
      </c>
      <c r="X294" t="s">
        <v>2099</v>
      </c>
      <c r="Y294" t="s">
        <v>2100</v>
      </c>
      <c r="Z294" t="s">
        <v>2101</v>
      </c>
      <c r="AA294">
        <v>12</v>
      </c>
      <c r="AB294" s="6" t="s">
        <v>760</v>
      </c>
      <c r="AC294" s="1" t="s">
        <v>964</v>
      </c>
      <c r="AD294" s="48"/>
      <c r="AE294" s="48"/>
      <c r="AF294" s="153" t="s">
        <v>1672</v>
      </c>
      <c r="AG294" s="5"/>
      <c r="AH294" s="5"/>
      <c r="AI294" s="6">
        <v>2</v>
      </c>
      <c r="AJ294" s="114" t="str">
        <f ca="1">IF((WEEKDAY(TODAY(),2))=6,"10:00","09:30")</f>
        <v>09:30</v>
      </c>
      <c r="AK294" s="142" t="str">
        <f>IF(AP294&gt;2000,"15:00",IF(AP294&lt;1000,"16:30","16:00"))</f>
        <v>16:30</v>
      </c>
      <c r="AL294" s="58" t="str">
        <f t="shared" ca="1" si="39"/>
        <v>09:30 - 16:30</v>
      </c>
      <c r="AM294" s="151">
        <v>4</v>
      </c>
      <c r="AN294" s="95">
        <f t="shared" si="44"/>
        <v>300000</v>
      </c>
      <c r="AO294" s="94" t="b">
        <v>1</v>
      </c>
      <c r="AP294" s="34">
        <f t="shared" si="40"/>
        <v>815.4</v>
      </c>
      <c r="AQ294" s="23">
        <f t="shared" si="41"/>
        <v>2</v>
      </c>
      <c r="AR294" s="35" t="s">
        <v>48</v>
      </c>
      <c r="AS294" s="1"/>
      <c r="AT294" s="1"/>
      <c r="AU294" s="46"/>
      <c r="AV294" s="1"/>
      <c r="AW294" s="63" t="str">
        <f t="shared" ca="1" si="42"/>
        <v>12:53:08</v>
      </c>
      <c r="AX294" s="10"/>
      <c r="AY294" s="160">
        <v>2</v>
      </c>
      <c r="AZ294" s="10"/>
      <c r="BA294" s="104" t="str">
        <f t="shared" si="43"/>
        <v>КОТЕЛЬНИКИ-ПАРКОВЫЙ-МКР-2К1</v>
      </c>
      <c r="BB294" s="85">
        <f>AP294*3.6+10*60</f>
        <v>3535.44</v>
      </c>
      <c r="BC294" s="110"/>
      <c r="BD294" s="123"/>
      <c r="BE294" s="117" t="s">
        <v>1315</v>
      </c>
      <c r="BF294" s="89" t="s">
        <v>1315</v>
      </c>
      <c r="BG294" s="89" t="s">
        <v>1315</v>
      </c>
      <c r="BH294" s="89" t="s">
        <v>1315</v>
      </c>
      <c r="BI294" s="89" t="s">
        <v>1315</v>
      </c>
      <c r="BJ294" s="89" t="s">
        <v>1315</v>
      </c>
      <c r="BK294" s="89" t="s">
        <v>1315</v>
      </c>
      <c r="BL294" s="11" t="s">
        <v>959</v>
      </c>
      <c r="BM294" s="1"/>
    </row>
    <row r="295" spans="1:65" ht="15" customHeight="1" x14ac:dyDescent="0.3">
      <c r="C295" s="1">
        <v>52</v>
      </c>
      <c r="D295" s="6">
        <v>25821</v>
      </c>
      <c r="E295" s="6">
        <v>4821</v>
      </c>
      <c r="F295" s="16" t="s">
        <v>1385</v>
      </c>
      <c r="G295" s="8" t="s">
        <v>43</v>
      </c>
      <c r="H295" s="9">
        <v>32.86</v>
      </c>
      <c r="I295" s="9">
        <v>17.579999999999998</v>
      </c>
      <c r="J295" s="9" t="s">
        <v>1315</v>
      </c>
      <c r="K295" s="1" t="s">
        <v>1773</v>
      </c>
      <c r="M295" s="2" t="s">
        <v>2075</v>
      </c>
      <c r="N295" s="1">
        <v>1</v>
      </c>
      <c r="O295" s="1">
        <v>5</v>
      </c>
      <c r="P295" s="1" t="s">
        <v>236</v>
      </c>
      <c r="Q295" s="12" t="s">
        <v>258</v>
      </c>
      <c r="R295" t="s">
        <v>2094</v>
      </c>
      <c r="S295" t="s">
        <v>2095</v>
      </c>
      <c r="T295" t="s">
        <v>2096</v>
      </c>
      <c r="U295" t="s">
        <v>2097</v>
      </c>
      <c r="V295" t="s">
        <v>2098</v>
      </c>
      <c r="W295">
        <v>9978972771</v>
      </c>
      <c r="X295" t="s">
        <v>2099</v>
      </c>
      <c r="Y295" t="s">
        <v>2100</v>
      </c>
      <c r="Z295" t="s">
        <v>2101</v>
      </c>
      <c r="AA295">
        <v>12</v>
      </c>
      <c r="AB295" s="6" t="s">
        <v>761</v>
      </c>
      <c r="AC295" s="2" t="s">
        <v>259</v>
      </c>
      <c r="AF295" s="169" t="s">
        <v>1672</v>
      </c>
      <c r="AI295" s="6">
        <v>2</v>
      </c>
      <c r="AJ295" s="114" t="str">
        <f ca="1">IF((WEEKDAY(TODAY(),2))=6,"10:00","09:30")</f>
        <v>09:30</v>
      </c>
      <c r="AK295" s="142" t="str">
        <f>IF(AP295&gt;2000,"15:00",IF(AP295&lt;1000,"16:30","16:00"))</f>
        <v>16:00</v>
      </c>
      <c r="AL295" s="58" t="str">
        <f t="shared" ca="1" si="39"/>
        <v>09:30 - 16:00</v>
      </c>
      <c r="AM295" s="151">
        <v>4</v>
      </c>
      <c r="AN295" s="95">
        <f t="shared" si="44"/>
        <v>322816</v>
      </c>
      <c r="AO295" s="94" t="b">
        <v>1</v>
      </c>
      <c r="AP295" s="34">
        <f t="shared" si="40"/>
        <v>1008.8</v>
      </c>
      <c r="AQ295" s="23">
        <f t="shared" si="41"/>
        <v>2</v>
      </c>
      <c r="AR295" s="35" t="s">
        <v>48</v>
      </c>
      <c r="AU295" s="46"/>
      <c r="AW295" s="63" t="str">
        <f t="shared" ca="1" si="42"/>
        <v>14:08:53</v>
      </c>
      <c r="AX295" s="10"/>
      <c r="AY295" s="160">
        <v>2</v>
      </c>
      <c r="AZ295" s="10"/>
      <c r="BA295" s="104" t="str">
        <f t="shared" si="43"/>
        <v>ЛЮБЕРЦЫ-МИРНЫЙ-ПОС-СВОБОДЫ-3</v>
      </c>
      <c r="BB295" s="87">
        <f>AP295*3.5+10*60</f>
        <v>4130.7999999999993</v>
      </c>
      <c r="BD295" s="123"/>
      <c r="BE295" s="117" t="s">
        <v>1315</v>
      </c>
      <c r="BF295" s="89">
        <v>-7.1649999999999991</v>
      </c>
      <c r="BG295" s="89" t="s">
        <v>1315</v>
      </c>
      <c r="BH295" s="89" t="s">
        <v>1315</v>
      </c>
      <c r="BI295" s="89" t="s">
        <v>1315</v>
      </c>
      <c r="BJ295" s="89">
        <v>-14.134999999999998</v>
      </c>
      <c r="BK295" s="89" t="s">
        <v>1315</v>
      </c>
      <c r="BL295" s="16" t="s">
        <v>257</v>
      </c>
    </row>
    <row r="296" spans="1:65" ht="15" customHeight="1" x14ac:dyDescent="0.3">
      <c r="C296" s="1">
        <v>557</v>
      </c>
      <c r="D296" s="6">
        <v>25997</v>
      </c>
      <c r="E296" s="6">
        <v>4997</v>
      </c>
      <c r="F296" s="2" t="s">
        <v>1612</v>
      </c>
      <c r="G296" s="8" t="s">
        <v>43</v>
      </c>
      <c r="H296" s="9">
        <v>24.45</v>
      </c>
      <c r="I296" s="9">
        <v>10.29</v>
      </c>
      <c r="J296" s="9" t="s">
        <v>1315</v>
      </c>
      <c r="K296" s="1" t="s">
        <v>1773</v>
      </c>
      <c r="M296" s="2" t="s">
        <v>2076</v>
      </c>
      <c r="N296" s="1">
        <v>1</v>
      </c>
      <c r="O296" s="1">
        <v>6</v>
      </c>
      <c r="P296" s="1" t="s">
        <v>236</v>
      </c>
      <c r="Q296" s="10" t="s">
        <v>1189</v>
      </c>
      <c r="R296" t="s">
        <v>2094</v>
      </c>
      <c r="S296" t="s">
        <v>2095</v>
      </c>
      <c r="T296" t="s">
        <v>2096</v>
      </c>
      <c r="U296" t="s">
        <v>2097</v>
      </c>
      <c r="V296" t="s">
        <v>2098</v>
      </c>
      <c r="W296">
        <v>9978972771</v>
      </c>
      <c r="X296" t="s">
        <v>2099</v>
      </c>
      <c r="Y296" t="s">
        <v>2100</v>
      </c>
      <c r="Z296" t="s">
        <v>2101</v>
      </c>
      <c r="AA296">
        <v>12</v>
      </c>
      <c r="AB296" s="6" t="s">
        <v>1234</v>
      </c>
      <c r="AC296" s="10" t="s">
        <v>622</v>
      </c>
      <c r="AF296" s="137" t="str">
        <f ca="1">IF(OR((WEEKDAY(TODAY(),2))=5,(WEEKDAY(TODAY(),2))=6),"8П","12П")</f>
        <v>12П</v>
      </c>
      <c r="AI296" s="6">
        <v>2</v>
      </c>
      <c r="AJ296" s="114" t="str">
        <f ca="1">IF((WEEKDAY(TODAY(),2))=6,"10:00","09:30")</f>
        <v>09:30</v>
      </c>
      <c r="AK296" s="142" t="str">
        <f>IF(AP296&gt;2000,"15:00",IF(AP296&lt;1000,"16:30","16:00"))</f>
        <v>16:30</v>
      </c>
      <c r="AL296" s="58" t="str">
        <f t="shared" ca="1" si="39"/>
        <v>09:30 - 16:30</v>
      </c>
      <c r="AM296" s="151">
        <v>4</v>
      </c>
      <c r="AN296" s="95">
        <f t="shared" si="44"/>
        <v>300000</v>
      </c>
      <c r="AO296" s="94" t="b">
        <v>1</v>
      </c>
      <c r="AP296" s="34">
        <f t="shared" si="40"/>
        <v>694.8</v>
      </c>
      <c r="AQ296" s="23">
        <f t="shared" si="41"/>
        <v>2</v>
      </c>
      <c r="AR296" s="35" t="s">
        <v>48</v>
      </c>
      <c r="AW296" s="63" t="str">
        <f t="shared" ca="1" si="42"/>
        <v>15:44:56</v>
      </c>
      <c r="AX296" s="10"/>
      <c r="AY296" s="160">
        <v>2</v>
      </c>
      <c r="AZ296" s="10"/>
      <c r="BA296" s="104" t="str">
        <f t="shared" si="43"/>
        <v>КРАСКОВО-ЕГОРЬЕВСКОЕ-Ш-1К1</v>
      </c>
      <c r="BB296" s="87">
        <f>AP296*3.5+10*60</f>
        <v>3031.7999999999997</v>
      </c>
      <c r="BD296" s="123"/>
      <c r="BE296" s="117" t="s">
        <v>1315</v>
      </c>
      <c r="BF296" s="89" t="s">
        <v>1315</v>
      </c>
      <c r="BG296" s="89" t="s">
        <v>1315</v>
      </c>
      <c r="BH296" s="89" t="s">
        <v>1315</v>
      </c>
      <c r="BI296" s="89">
        <v>0.95333333333333314</v>
      </c>
      <c r="BJ296" s="89" t="s">
        <v>1315</v>
      </c>
      <c r="BK296" s="89" t="s">
        <v>1315</v>
      </c>
      <c r="BL296" s="2" t="s">
        <v>621</v>
      </c>
    </row>
    <row r="297" spans="1:65" ht="15" customHeight="1" x14ac:dyDescent="0.3">
      <c r="C297" s="1">
        <v>71</v>
      </c>
      <c r="D297" s="6">
        <v>25848</v>
      </c>
      <c r="E297" s="6">
        <v>4848</v>
      </c>
      <c r="F297" s="10" t="s">
        <v>1394</v>
      </c>
      <c r="G297" s="8" t="s">
        <v>43</v>
      </c>
      <c r="H297" s="9">
        <v>26.37</v>
      </c>
      <c r="I297" s="9">
        <v>10.07</v>
      </c>
      <c r="J297" s="9" t="s">
        <v>2085</v>
      </c>
      <c r="K297" s="1" t="s">
        <v>1781</v>
      </c>
      <c r="L297" s="2" t="s">
        <v>44</v>
      </c>
      <c r="M297" s="2" t="s">
        <v>2081</v>
      </c>
      <c r="N297" s="1">
        <v>1</v>
      </c>
      <c r="O297" s="1">
        <v>1</v>
      </c>
      <c r="P297" s="1" t="s">
        <v>276</v>
      </c>
      <c r="Q297" s="10" t="s">
        <v>277</v>
      </c>
      <c r="R297" t="s">
        <v>2102</v>
      </c>
      <c r="S297" t="s">
        <v>2103</v>
      </c>
      <c r="T297" t="s">
        <v>2104</v>
      </c>
      <c r="U297" t="s">
        <v>2105</v>
      </c>
      <c r="V297" t="s">
        <v>2106</v>
      </c>
      <c r="W297">
        <v>9915027128</v>
      </c>
      <c r="X297" t="s">
        <v>2099</v>
      </c>
      <c r="Y297" t="s">
        <v>2100</v>
      </c>
      <c r="Z297" t="s">
        <v>2101</v>
      </c>
      <c r="AA297">
        <v>12</v>
      </c>
      <c r="AB297" s="6" t="s">
        <v>771</v>
      </c>
      <c r="AC297" s="2" t="s">
        <v>278</v>
      </c>
      <c r="AF297" s="153" t="s">
        <v>1672</v>
      </c>
      <c r="AI297" s="6">
        <v>2</v>
      </c>
      <c r="AJ297" s="114" t="str">
        <f ca="1">IF((WEEKDAY(TODAY(),2))=6,"10:00","09:30")</f>
        <v>09:30</v>
      </c>
      <c r="AK297" s="58">
        <v>0.54166666666666696</v>
      </c>
      <c r="AL297" s="58" t="str">
        <f t="shared" ca="1" si="39"/>
        <v>09:30 - 13:00</v>
      </c>
      <c r="AM297" s="151">
        <v>4</v>
      </c>
      <c r="AN297" s="95">
        <f t="shared" si="44"/>
        <v>300000</v>
      </c>
      <c r="AO297" s="94" t="b">
        <v>1</v>
      </c>
      <c r="AP297" s="34">
        <f t="shared" si="40"/>
        <v>728.8</v>
      </c>
      <c r="AQ297" s="23">
        <f t="shared" si="41"/>
        <v>2</v>
      </c>
      <c r="AR297" s="35" t="s">
        <v>48</v>
      </c>
      <c r="AU297" s="46"/>
      <c r="AW297" s="63" t="str">
        <f t="shared" ca="1" si="42"/>
        <v>10:33:36</v>
      </c>
      <c r="AX297" s="10"/>
      <c r="AY297" s="160">
        <v>1</v>
      </c>
      <c r="AZ297" s="10"/>
      <c r="BA297" s="104" t="str">
        <f t="shared" si="43"/>
        <v>ВИДНОЕ-РАДУЖНАЯ-2</v>
      </c>
      <c r="BB297" s="87">
        <f>AP297*3.5+10*60</f>
        <v>3150.7999999999997</v>
      </c>
      <c r="BD297" s="123"/>
      <c r="BE297" s="117" t="s">
        <v>1315</v>
      </c>
      <c r="BF297" s="89" t="s">
        <v>1315</v>
      </c>
      <c r="BG297" s="89" t="s">
        <v>1315</v>
      </c>
      <c r="BH297" s="89" t="s">
        <v>1315</v>
      </c>
      <c r="BI297" s="89" t="s">
        <v>1315</v>
      </c>
      <c r="BJ297" s="89">
        <v>-4.6216666666666981</v>
      </c>
      <c r="BK297" s="89" t="s">
        <v>1315</v>
      </c>
      <c r="BL297" s="10" t="s">
        <v>275</v>
      </c>
    </row>
    <row r="298" spans="1:65" ht="15" customHeight="1" x14ac:dyDescent="0.3">
      <c r="C298" s="1">
        <v>79</v>
      </c>
      <c r="D298" s="6">
        <v>257064</v>
      </c>
      <c r="E298" s="6">
        <v>4064</v>
      </c>
      <c r="F298" s="1" t="s">
        <v>1395</v>
      </c>
      <c r="G298" s="8" t="s">
        <v>43</v>
      </c>
      <c r="H298" s="9">
        <v>10.74</v>
      </c>
      <c r="I298" s="9">
        <v>3.9</v>
      </c>
      <c r="J298" s="9" t="s">
        <v>1315</v>
      </c>
      <c r="K298" s="1" t="s">
        <v>1781</v>
      </c>
      <c r="M298" s="2" t="s">
        <v>2082</v>
      </c>
      <c r="N298" s="1">
        <v>1</v>
      </c>
      <c r="O298" s="1">
        <v>2</v>
      </c>
      <c r="P298" s="1" t="s">
        <v>716</v>
      </c>
      <c r="Q298" s="1" t="s">
        <v>717</v>
      </c>
      <c r="R298" t="s">
        <v>2102</v>
      </c>
      <c r="S298" t="s">
        <v>2103</v>
      </c>
      <c r="T298" t="s">
        <v>2104</v>
      </c>
      <c r="U298" t="s">
        <v>2105</v>
      </c>
      <c r="V298" t="s">
        <v>2106</v>
      </c>
      <c r="W298">
        <v>9915027128</v>
      </c>
      <c r="X298" t="s">
        <v>2099</v>
      </c>
      <c r="Y298" t="s">
        <v>2100</v>
      </c>
      <c r="Z298" t="s">
        <v>2101</v>
      </c>
      <c r="AA298">
        <v>12</v>
      </c>
      <c r="AB298" s="6" t="s">
        <v>774</v>
      </c>
      <c r="AC298" s="1" t="s">
        <v>718</v>
      </c>
      <c r="AF298" s="153" t="s">
        <v>1672</v>
      </c>
      <c r="AH298" s="24"/>
      <c r="AI298" s="6">
        <v>2</v>
      </c>
      <c r="AJ298" s="114" t="str">
        <f ca="1">IF((WEEKDAY(TODAY(),2))=6,"10:00","09:00")</f>
        <v>09:00</v>
      </c>
      <c r="AK298" s="58">
        <v>0.54166666666666696</v>
      </c>
      <c r="AL298" s="58" t="str">
        <f t="shared" ca="1" si="39"/>
        <v>09:00 - 13:00</v>
      </c>
      <c r="AM298" s="151">
        <v>4</v>
      </c>
      <c r="AN298" s="95">
        <f t="shared" si="44"/>
        <v>300000</v>
      </c>
      <c r="AO298" s="94" t="b">
        <v>1</v>
      </c>
      <c r="AP298" s="34">
        <f t="shared" si="40"/>
        <v>292.8</v>
      </c>
      <c r="AQ298" s="23">
        <f t="shared" si="41"/>
        <v>1</v>
      </c>
      <c r="AR298" s="35" t="s">
        <v>48</v>
      </c>
      <c r="AU298" s="46"/>
      <c r="AW298" s="63" t="str">
        <f t="shared" ca="1" si="42"/>
        <v>11:50:02</v>
      </c>
      <c r="AX298" s="10"/>
      <c r="AY298" s="160">
        <v>1</v>
      </c>
      <c r="AZ298" s="10"/>
      <c r="BA298" s="104" t="str">
        <f t="shared" si="43"/>
        <v>ДОМОДЕДОВО-ТВОРЧЕСТВА-1</v>
      </c>
      <c r="BB298" s="85">
        <f>AP298*2.8+10*60</f>
        <v>1419.8400000000001</v>
      </c>
      <c r="BD298" s="123"/>
      <c r="BE298" s="117" t="s">
        <v>1315</v>
      </c>
      <c r="BF298" s="89">
        <v>15.058000000000014</v>
      </c>
      <c r="BG298" s="89">
        <v>4.8719999999999999</v>
      </c>
      <c r="BH298" s="89">
        <v>-4.873333333333342</v>
      </c>
      <c r="BI298" s="89">
        <v>-20.80266666666666</v>
      </c>
      <c r="BJ298" s="89" t="s">
        <v>1315</v>
      </c>
      <c r="BK298" s="89">
        <v>-47.211333333333343</v>
      </c>
      <c r="BL298" s="1" t="s">
        <v>715</v>
      </c>
      <c r="BM298" s="125"/>
    </row>
    <row r="299" spans="1:65" ht="15" customHeight="1" x14ac:dyDescent="0.3">
      <c r="C299" s="1">
        <v>75</v>
      </c>
      <c r="D299" s="6">
        <v>257041</v>
      </c>
      <c r="E299" s="6">
        <v>4041</v>
      </c>
      <c r="F299" s="10" t="s">
        <v>1658</v>
      </c>
      <c r="G299" s="8" t="s">
        <v>43</v>
      </c>
      <c r="H299" s="9">
        <v>103.94</v>
      </c>
      <c r="I299" s="9">
        <v>90.170000000000016</v>
      </c>
      <c r="J299" s="9" t="s">
        <v>1315</v>
      </c>
      <c r="K299" s="1" t="s">
        <v>1781</v>
      </c>
      <c r="M299" s="2" t="s">
        <v>2083</v>
      </c>
      <c r="N299" s="1">
        <v>1</v>
      </c>
      <c r="O299" s="1">
        <v>3</v>
      </c>
      <c r="P299" s="1" t="s">
        <v>280</v>
      </c>
      <c r="Q299" s="10" t="s">
        <v>1195</v>
      </c>
      <c r="R299" t="s">
        <v>2102</v>
      </c>
      <c r="S299" t="s">
        <v>2103</v>
      </c>
      <c r="T299" t="s">
        <v>2104</v>
      </c>
      <c r="U299" t="s">
        <v>2105</v>
      </c>
      <c r="V299" t="s">
        <v>2106</v>
      </c>
      <c r="W299">
        <v>9915027128</v>
      </c>
      <c r="X299" t="s">
        <v>2099</v>
      </c>
      <c r="Y299" t="s">
        <v>2100</v>
      </c>
      <c r="Z299" t="s">
        <v>2101</v>
      </c>
      <c r="AA299">
        <v>12</v>
      </c>
      <c r="AB299" s="6" t="s">
        <v>772</v>
      </c>
      <c r="AC299" s="10" t="s">
        <v>281</v>
      </c>
      <c r="AF299" s="137" t="str">
        <f ca="1">IF(OR((WEEKDAY(TODAY(),2))=5,(WEEKDAY(TODAY(),2))=6),"8П","12П")</f>
        <v>12П</v>
      </c>
      <c r="AH299" s="24"/>
      <c r="AI299" s="6">
        <v>2</v>
      </c>
      <c r="AJ299" s="114" t="str">
        <f ca="1">IF((WEEKDAY(TODAY(),2))=6,"10:00","09:00")</f>
        <v>09:00</v>
      </c>
      <c r="AK299" s="58">
        <v>0.54166666666666696</v>
      </c>
      <c r="AL299" s="58" t="str">
        <f t="shared" ca="1" si="39"/>
        <v>09:00 - 13:00</v>
      </c>
      <c r="AM299" s="151">
        <v>4</v>
      </c>
      <c r="AN299" s="95">
        <f t="shared" si="44"/>
        <v>1242304.0000000002</v>
      </c>
      <c r="AO299" s="94" t="b">
        <v>1</v>
      </c>
      <c r="AP299" s="34">
        <f t="shared" si="40"/>
        <v>3882.2000000000007</v>
      </c>
      <c r="AQ299" s="23">
        <f t="shared" si="41"/>
        <v>7</v>
      </c>
      <c r="AR299" s="35" t="s">
        <v>48</v>
      </c>
      <c r="AT299" s="10"/>
      <c r="AU299" s="46"/>
      <c r="AW299" s="63" t="str">
        <f t="shared" ca="1" si="42"/>
        <v>12:48:14</v>
      </c>
      <c r="AX299" s="10"/>
      <c r="AY299" s="160">
        <v>1</v>
      </c>
      <c r="AZ299" s="10"/>
      <c r="BA299" s="104" t="str">
        <f t="shared" si="43"/>
        <v>ДОМОДЕД-ЗАПАД-МКР-ЛУННАЯ-33</v>
      </c>
      <c r="BB299" s="85">
        <f>AP299*2.8+10*60</f>
        <v>11470.160000000002</v>
      </c>
      <c r="BD299" s="123"/>
      <c r="BE299" s="117" t="s">
        <v>1315</v>
      </c>
      <c r="BF299" s="89">
        <v>0.43133333333339863</v>
      </c>
      <c r="BG299" s="89">
        <v>-10.334666666666656</v>
      </c>
      <c r="BH299" s="89" t="s">
        <v>1315</v>
      </c>
      <c r="BI299" s="89" t="s">
        <v>1315</v>
      </c>
      <c r="BJ299" s="89" t="s">
        <v>1315</v>
      </c>
      <c r="BK299" s="89" t="s">
        <v>1315</v>
      </c>
      <c r="BL299" s="10" t="s">
        <v>279</v>
      </c>
    </row>
    <row r="300" spans="1:65" ht="15" customHeight="1" x14ac:dyDescent="0.3">
      <c r="C300" s="1">
        <v>267</v>
      </c>
      <c r="D300" s="6">
        <v>50970</v>
      </c>
      <c r="E300" s="6">
        <v>4970</v>
      </c>
      <c r="F300" s="10" t="s">
        <v>1651</v>
      </c>
      <c r="G300" s="8" t="s">
        <v>43</v>
      </c>
      <c r="H300" s="9">
        <v>51.9</v>
      </c>
      <c r="I300" s="9">
        <v>30.07</v>
      </c>
      <c r="J300" s="9" t="s">
        <v>2085</v>
      </c>
      <c r="K300" s="1" t="s">
        <v>1732</v>
      </c>
      <c r="M300" s="2" t="s">
        <v>1329</v>
      </c>
      <c r="N300" s="1">
        <v>1</v>
      </c>
      <c r="O300" s="1">
        <v>1</v>
      </c>
      <c r="P300" s="1" t="s">
        <v>127</v>
      </c>
      <c r="Q300" s="10" t="s">
        <v>406</v>
      </c>
      <c r="R300" t="s">
        <v>2107</v>
      </c>
      <c r="S300" t="s">
        <v>2108</v>
      </c>
      <c r="T300" t="s">
        <v>2109</v>
      </c>
      <c r="U300" t="s">
        <v>2110</v>
      </c>
      <c r="V300" t="s">
        <v>2111</v>
      </c>
      <c r="W300">
        <v>9977009672</v>
      </c>
      <c r="X300" t="s">
        <v>2099</v>
      </c>
      <c r="Y300" t="s">
        <v>2100</v>
      </c>
      <c r="Z300" t="s">
        <v>2101</v>
      </c>
      <c r="AA300">
        <v>10</v>
      </c>
      <c r="AB300" s="6" t="s">
        <v>865</v>
      </c>
      <c r="AC300" s="2" t="s">
        <v>407</v>
      </c>
      <c r="AF300" s="167" t="s">
        <v>1672</v>
      </c>
      <c r="AI300" s="6">
        <v>1</v>
      </c>
      <c r="AJ300" s="114" t="str">
        <f ca="1">IF((WEEKDAY(TODAY(),2))=6,"10:00","09:30")</f>
        <v>09:30</v>
      </c>
      <c r="AK300" s="58">
        <v>0.54166666666666696</v>
      </c>
      <c r="AL300" s="58" t="str">
        <f t="shared" ca="1" si="39"/>
        <v>09:30 - 13:00</v>
      </c>
      <c r="AM300" s="151">
        <v>6</v>
      </c>
      <c r="AN300" s="95">
        <f t="shared" si="44"/>
        <v>524608</v>
      </c>
      <c r="AO300" s="94" t="b">
        <v>1</v>
      </c>
      <c r="AP300" s="34">
        <f t="shared" si="40"/>
        <v>1639.4</v>
      </c>
      <c r="AQ300" s="23">
        <f t="shared" si="41"/>
        <v>3</v>
      </c>
      <c r="AR300" s="35" t="s">
        <v>48</v>
      </c>
      <c r="AW300" s="63" t="str">
        <f t="shared" ca="1" si="42"/>
        <v>09:30</v>
      </c>
      <c r="AX300" s="10"/>
      <c r="AY300" s="160">
        <v>1</v>
      </c>
      <c r="AZ300" s="10"/>
      <c r="BA300" s="104" t="str">
        <f t="shared" si="43"/>
        <v>ИЛЬИНСКОЕ-УС-АРХАНГЕЛЬСКАЯ-4</v>
      </c>
      <c r="BB300" s="87">
        <f>AP300*3.5+10*60</f>
        <v>6337.9000000000005</v>
      </c>
      <c r="BD300" s="123"/>
      <c r="BE300" s="117" t="s">
        <v>1315</v>
      </c>
      <c r="BF300" s="89" t="s">
        <v>1315</v>
      </c>
      <c r="BG300" s="89" t="s">
        <v>1315</v>
      </c>
      <c r="BH300" s="89" t="s">
        <v>1315</v>
      </c>
      <c r="BI300" s="89" t="s">
        <v>1315</v>
      </c>
      <c r="BJ300" s="89">
        <v>-0.13999999999998636</v>
      </c>
      <c r="BK300" s="89" t="s">
        <v>1315</v>
      </c>
      <c r="BL300" s="10" t="s">
        <v>405</v>
      </c>
    </row>
    <row r="301" spans="1:65" ht="15" customHeight="1" x14ac:dyDescent="0.3">
      <c r="C301" s="1">
        <v>216</v>
      </c>
      <c r="D301" s="6">
        <v>985</v>
      </c>
      <c r="E301" s="6">
        <v>4985</v>
      </c>
      <c r="F301" s="36" t="s">
        <v>1503</v>
      </c>
      <c r="G301" s="8" t="s">
        <v>50</v>
      </c>
      <c r="H301" s="9">
        <v>14.030000000000001</v>
      </c>
      <c r="I301" s="9">
        <v>2.99</v>
      </c>
      <c r="J301" s="9" t="s">
        <v>1315</v>
      </c>
      <c r="K301" s="1" t="s">
        <v>1732</v>
      </c>
      <c r="M301" s="2" t="s">
        <v>1924</v>
      </c>
      <c r="N301" s="1">
        <v>1</v>
      </c>
      <c r="O301" s="1">
        <v>2</v>
      </c>
      <c r="P301" s="1" t="s">
        <v>51</v>
      </c>
      <c r="Q301" s="10" t="s">
        <v>377</v>
      </c>
      <c r="R301" t="s">
        <v>2107</v>
      </c>
      <c r="S301" t="s">
        <v>2108</v>
      </c>
      <c r="T301" t="s">
        <v>2109</v>
      </c>
      <c r="U301" t="s">
        <v>2110</v>
      </c>
      <c r="V301" t="s">
        <v>2111</v>
      </c>
      <c r="W301">
        <v>9977009672</v>
      </c>
      <c r="X301" t="s">
        <v>2099</v>
      </c>
      <c r="Y301" t="s">
        <v>2100</v>
      </c>
      <c r="Z301" t="s">
        <v>2101</v>
      </c>
      <c r="AA301">
        <v>10</v>
      </c>
      <c r="AB301" s="6" t="s">
        <v>847</v>
      </c>
      <c r="AC301" s="2" t="s">
        <v>378</v>
      </c>
      <c r="AF301" s="153" t="s">
        <v>1672</v>
      </c>
      <c r="AI301" s="6">
        <v>2</v>
      </c>
      <c r="AJ301" s="13" t="s">
        <v>1329</v>
      </c>
      <c r="AK301" s="58">
        <v>0.54166666666666696</v>
      </c>
      <c r="AL301" s="58" t="str">
        <f t="shared" si="39"/>
        <v>09:30 - 13:00</v>
      </c>
      <c r="AM301" s="151">
        <v>6</v>
      </c>
      <c r="AN301" s="95">
        <f t="shared" si="44"/>
        <v>300000</v>
      </c>
      <c r="AO301" s="94" t="b">
        <v>1</v>
      </c>
      <c r="AP301" s="34">
        <f t="shared" si="40"/>
        <v>340.40000000000003</v>
      </c>
      <c r="AQ301" s="23">
        <f t="shared" si="41"/>
        <v>1</v>
      </c>
      <c r="AR301" s="35" t="s">
        <v>48</v>
      </c>
      <c r="AW301" s="63" t="str">
        <f t="shared" si="42"/>
        <v>11:56:51</v>
      </c>
      <c r="AX301" s="10"/>
      <c r="AY301" s="160">
        <v>1</v>
      </c>
      <c r="AZ301" s="10"/>
      <c r="BA301" s="104" t="str">
        <f t="shared" si="43"/>
        <v>3-ХОРОШЕВСКАЯ-27К3</v>
      </c>
      <c r="BB301" s="52">
        <f>AP301*3.5+10*60</f>
        <v>1791.4</v>
      </c>
      <c r="BD301" s="123"/>
      <c r="BE301" s="117">
        <v>-20.169999999999987</v>
      </c>
      <c r="BF301" s="89">
        <v>-7.3849999999999909</v>
      </c>
      <c r="BG301" s="89" t="s">
        <v>1315</v>
      </c>
      <c r="BH301" s="89" t="s">
        <v>1315</v>
      </c>
      <c r="BI301" s="89" t="s">
        <v>1315</v>
      </c>
      <c r="BJ301" s="89" t="s">
        <v>1315</v>
      </c>
      <c r="BK301" s="89" t="s">
        <v>1315</v>
      </c>
      <c r="BL301" s="36" t="s">
        <v>376</v>
      </c>
    </row>
    <row r="302" spans="1:65" ht="15" customHeight="1" x14ac:dyDescent="0.3">
      <c r="C302" s="1">
        <v>201</v>
      </c>
      <c r="D302" s="6">
        <v>43</v>
      </c>
      <c r="E302" s="6">
        <v>7043</v>
      </c>
      <c r="F302" s="1" t="s">
        <v>1495</v>
      </c>
      <c r="G302" s="8" t="s">
        <v>50</v>
      </c>
      <c r="H302" s="9">
        <v>69.06</v>
      </c>
      <c r="I302" s="9">
        <v>10.26</v>
      </c>
      <c r="J302" s="9" t="s">
        <v>1315</v>
      </c>
      <c r="K302" s="1" t="s">
        <v>1732</v>
      </c>
      <c r="L302" s="2">
        <v>2</v>
      </c>
      <c r="M302" s="2" t="s">
        <v>1923</v>
      </c>
      <c r="N302" s="1">
        <v>1</v>
      </c>
      <c r="O302" s="1">
        <v>3</v>
      </c>
      <c r="P302" s="1" t="s">
        <v>51</v>
      </c>
      <c r="Q302" s="10" t="s">
        <v>180</v>
      </c>
      <c r="R302" t="s">
        <v>2107</v>
      </c>
      <c r="S302" t="s">
        <v>2108</v>
      </c>
      <c r="T302" t="s">
        <v>2109</v>
      </c>
      <c r="U302" t="s">
        <v>2110</v>
      </c>
      <c r="V302" t="s">
        <v>2111</v>
      </c>
      <c r="W302">
        <v>9977009672</v>
      </c>
      <c r="X302" t="s">
        <v>2099</v>
      </c>
      <c r="Y302" t="s">
        <v>2100</v>
      </c>
      <c r="Z302" t="s">
        <v>2101</v>
      </c>
      <c r="AA302">
        <v>10</v>
      </c>
      <c r="AB302" s="6" t="s">
        <v>840</v>
      </c>
      <c r="AC302" s="2" t="s">
        <v>181</v>
      </c>
      <c r="AF302" s="153" t="s">
        <v>1677</v>
      </c>
      <c r="AI302" s="6">
        <v>2</v>
      </c>
      <c r="AJ302" s="13" t="s">
        <v>1329</v>
      </c>
      <c r="AK302" s="58">
        <v>0.54166666666666696</v>
      </c>
      <c r="AL302" s="58" t="str">
        <f t="shared" si="39"/>
        <v>09:30 - 13:00</v>
      </c>
      <c r="AM302" s="151">
        <v>1</v>
      </c>
      <c r="AN302" s="95">
        <f t="shared" si="44"/>
        <v>507648</v>
      </c>
      <c r="AO302" s="94" t="b">
        <v>1</v>
      </c>
      <c r="AP302" s="34">
        <f t="shared" si="40"/>
        <v>1586.4</v>
      </c>
      <c r="AQ302" s="23">
        <f t="shared" si="41"/>
        <v>3</v>
      </c>
      <c r="AR302" s="35" t="s">
        <v>48</v>
      </c>
      <c r="AW302" s="63" t="str">
        <f t="shared" si="42"/>
        <v>12:33:37</v>
      </c>
      <c r="AX302" s="173"/>
      <c r="AY302" s="160">
        <v>1</v>
      </c>
      <c r="AZ302" s="10"/>
      <c r="BA302" s="104" t="str">
        <f t="shared" si="43"/>
        <v>МАРШ-БИРЮЗОВА-12</v>
      </c>
      <c r="BB302" s="85">
        <f>AP302*3.8+10*60</f>
        <v>6628.32</v>
      </c>
      <c r="BD302" s="123"/>
      <c r="BE302" s="117" t="s">
        <v>1315</v>
      </c>
      <c r="BF302" s="89" t="s">
        <v>1315</v>
      </c>
      <c r="BG302" s="89">
        <v>-21.992000000000004</v>
      </c>
      <c r="BH302" s="89" t="s">
        <v>1315</v>
      </c>
      <c r="BI302" s="89" t="s">
        <v>1315</v>
      </c>
      <c r="BJ302" s="89" t="s">
        <v>1315</v>
      </c>
      <c r="BK302" s="89" t="s">
        <v>1315</v>
      </c>
      <c r="BL302" s="1" t="s">
        <v>179</v>
      </c>
    </row>
    <row r="303" spans="1:65" ht="15" customHeight="1" x14ac:dyDescent="0.3">
      <c r="C303" s="1">
        <v>210</v>
      </c>
      <c r="D303" s="6">
        <v>7140</v>
      </c>
      <c r="E303" s="6">
        <v>4140</v>
      </c>
      <c r="F303" s="40" t="s">
        <v>1500</v>
      </c>
      <c r="G303" s="8" t="s">
        <v>50</v>
      </c>
      <c r="H303" s="9">
        <v>46.42</v>
      </c>
      <c r="I303" s="9">
        <v>24.71</v>
      </c>
      <c r="J303" s="9" t="s">
        <v>1315</v>
      </c>
      <c r="K303" s="1" t="s">
        <v>1732</v>
      </c>
      <c r="M303" s="2" t="s">
        <v>1937</v>
      </c>
      <c r="N303" s="1">
        <v>1</v>
      </c>
      <c r="O303" s="1">
        <v>4</v>
      </c>
      <c r="P303" s="1" t="s">
        <v>51</v>
      </c>
      <c r="Q303" s="10" t="s">
        <v>1096</v>
      </c>
      <c r="R303" t="s">
        <v>2107</v>
      </c>
      <c r="S303" t="s">
        <v>2108</v>
      </c>
      <c r="T303" t="s">
        <v>2109</v>
      </c>
      <c r="U303" t="s">
        <v>2110</v>
      </c>
      <c r="V303" t="s">
        <v>2111</v>
      </c>
      <c r="W303">
        <v>9977009672</v>
      </c>
      <c r="X303" t="s">
        <v>2099</v>
      </c>
      <c r="Y303" t="s">
        <v>2100</v>
      </c>
      <c r="Z303" t="s">
        <v>2101</v>
      </c>
      <c r="AA303">
        <v>10</v>
      </c>
      <c r="AB303" s="6" t="s">
        <v>844</v>
      </c>
      <c r="AC303" s="10" t="s">
        <v>1097</v>
      </c>
      <c r="AF303" s="167" t="s">
        <v>1672</v>
      </c>
      <c r="AI303" s="6">
        <v>2</v>
      </c>
      <c r="AJ303" s="13" t="s">
        <v>1329</v>
      </c>
      <c r="AK303" s="142" t="str">
        <f>IF(AP303&gt;2000,"15:00",IF(AP303&lt;1000,"16:30","16:00"))</f>
        <v>16:00</v>
      </c>
      <c r="AL303" s="58" t="str">
        <f t="shared" si="39"/>
        <v>09:30 - 16:00</v>
      </c>
      <c r="AM303" s="151">
        <v>6</v>
      </c>
      <c r="AN303" s="95">
        <f t="shared" si="44"/>
        <v>455232.00000000006</v>
      </c>
      <c r="AO303" s="94" t="b">
        <v>1</v>
      </c>
      <c r="AP303" s="34">
        <f t="shared" si="40"/>
        <v>1422.6000000000001</v>
      </c>
      <c r="AQ303" s="23">
        <f t="shared" si="41"/>
        <v>3</v>
      </c>
      <c r="AR303" s="35" t="s">
        <v>48</v>
      </c>
      <c r="AW303" s="63" t="str">
        <f t="shared" si="42"/>
        <v>14:43:25</v>
      </c>
      <c r="AX303" s="10"/>
      <c r="AY303" s="160">
        <v>2</v>
      </c>
      <c r="AZ303" s="10"/>
      <c r="BA303" s="104" t="str">
        <f t="shared" si="43"/>
        <v>МАРГЕЛОВА-3К2</v>
      </c>
      <c r="BB303" s="87">
        <f>AP303*3.5+10*60</f>
        <v>5579.1</v>
      </c>
      <c r="BD303" s="123"/>
      <c r="BE303" s="117" t="s">
        <v>1315</v>
      </c>
      <c r="BF303" s="89" t="s">
        <v>1315</v>
      </c>
      <c r="BG303" s="89" t="s">
        <v>1315</v>
      </c>
      <c r="BH303" s="89" t="s">
        <v>1315</v>
      </c>
      <c r="BI303" s="89">
        <v>12.888333333333335</v>
      </c>
      <c r="BJ303" s="89" t="s">
        <v>1315</v>
      </c>
      <c r="BK303" s="89" t="s">
        <v>1315</v>
      </c>
      <c r="BL303" s="40" t="s">
        <v>1095</v>
      </c>
    </row>
    <row r="304" spans="1:65" ht="15" customHeight="1" x14ac:dyDescent="0.3">
      <c r="AN304" s="99"/>
    </row>
    <row r="305" spans="40:40" ht="15" customHeight="1" x14ac:dyDescent="0.3">
      <c r="AN305" s="99"/>
    </row>
    <row r="306" spans="40:40" ht="15" customHeight="1" x14ac:dyDescent="0.3">
      <c r="AN306" s="99"/>
    </row>
    <row r="307" spans="40:40" ht="15" customHeight="1" x14ac:dyDescent="0.3">
      <c r="AN307" s="99"/>
    </row>
    <row r="308" spans="40:40" ht="15" customHeight="1" x14ac:dyDescent="0.3">
      <c r="AN308" s="99"/>
    </row>
    <row r="309" spans="40:40" ht="15" customHeight="1" x14ac:dyDescent="0.3">
      <c r="AN309" s="99"/>
    </row>
    <row r="310" spans="40:40" ht="15" customHeight="1" x14ac:dyDescent="0.3">
      <c r="AN310" s="99"/>
    </row>
    <row r="311" spans="40:40" ht="15" customHeight="1" x14ac:dyDescent="0.3">
      <c r="AN311" s="99"/>
    </row>
    <row r="312" spans="40:40" ht="15" customHeight="1" x14ac:dyDescent="0.3">
      <c r="AN312" s="99"/>
    </row>
    <row r="313" spans="40:40" ht="15" customHeight="1" x14ac:dyDescent="0.3">
      <c r="AN313" s="99"/>
    </row>
    <row r="314" spans="40:40" ht="15" customHeight="1" x14ac:dyDescent="0.3">
      <c r="AN314" s="99"/>
    </row>
    <row r="315" spans="40:40" ht="15" customHeight="1" x14ac:dyDescent="0.3">
      <c r="AN315" s="99"/>
    </row>
    <row r="316" spans="40:40" ht="15" customHeight="1" x14ac:dyDescent="0.3">
      <c r="AN316" s="99"/>
    </row>
    <row r="317" spans="40:40" ht="15" customHeight="1" x14ac:dyDescent="0.3">
      <c r="AN317" s="99"/>
    </row>
    <row r="318" spans="40:40" ht="15" customHeight="1" x14ac:dyDescent="0.3">
      <c r="AN318" s="99"/>
    </row>
    <row r="319" spans="40:40" ht="15" customHeight="1" x14ac:dyDescent="0.3">
      <c r="AN319" s="99"/>
    </row>
    <row r="320" spans="40:40" ht="15" customHeight="1" x14ac:dyDescent="0.3">
      <c r="AN320" s="99"/>
    </row>
    <row r="321" spans="40:40" ht="15" customHeight="1" x14ac:dyDescent="0.3">
      <c r="AN321" s="99"/>
    </row>
    <row r="322" spans="40:40" ht="15" customHeight="1" x14ac:dyDescent="0.3">
      <c r="AN322" s="99"/>
    </row>
    <row r="323" spans="40:40" ht="15" customHeight="1" x14ac:dyDescent="0.3">
      <c r="AN323" s="99"/>
    </row>
    <row r="324" spans="40:40" ht="15" customHeight="1" x14ac:dyDescent="0.3">
      <c r="AN324" s="99"/>
    </row>
    <row r="325" spans="40:40" ht="15" customHeight="1" x14ac:dyDescent="0.3">
      <c r="AN325" s="99"/>
    </row>
    <row r="326" spans="40:40" ht="15" customHeight="1" x14ac:dyDescent="0.3">
      <c r="AN326" s="99"/>
    </row>
    <row r="327" spans="40:40" ht="15" customHeight="1" x14ac:dyDescent="0.3">
      <c r="AN327" s="99"/>
    </row>
    <row r="328" spans="40:40" ht="15" customHeight="1" x14ac:dyDescent="0.3">
      <c r="AN328" s="99"/>
    </row>
    <row r="329" spans="40:40" ht="15" customHeight="1" x14ac:dyDescent="0.3">
      <c r="AN329" s="99"/>
    </row>
    <row r="330" spans="40:40" ht="15" customHeight="1" x14ac:dyDescent="0.3">
      <c r="AN330" s="99"/>
    </row>
    <row r="331" spans="40:40" ht="15" customHeight="1" x14ac:dyDescent="0.3">
      <c r="AN331" s="99"/>
    </row>
    <row r="332" spans="40:40" ht="15" customHeight="1" x14ac:dyDescent="0.3">
      <c r="AN332" s="99"/>
    </row>
    <row r="333" spans="40:40" ht="15" customHeight="1" x14ac:dyDescent="0.3">
      <c r="AN333" s="99"/>
    </row>
    <row r="334" spans="40:40" ht="15" customHeight="1" x14ac:dyDescent="0.3">
      <c r="AN334" s="99"/>
    </row>
    <row r="335" spans="40:40" ht="15" customHeight="1" x14ac:dyDescent="0.3">
      <c r="AN335" s="99"/>
    </row>
    <row r="336" spans="40:40" ht="15" customHeight="1" x14ac:dyDescent="0.3">
      <c r="AN336" s="99"/>
    </row>
    <row r="337" spans="40:40" ht="15" customHeight="1" x14ac:dyDescent="0.3">
      <c r="AN337" s="99"/>
    </row>
    <row r="338" spans="40:40" ht="15" customHeight="1" x14ac:dyDescent="0.3">
      <c r="AN338" s="99"/>
    </row>
    <row r="339" spans="40:40" ht="15" customHeight="1" x14ac:dyDescent="0.3">
      <c r="AN339" s="99"/>
    </row>
    <row r="340" spans="40:40" ht="15" customHeight="1" x14ac:dyDescent="0.3">
      <c r="AN340" s="99"/>
    </row>
    <row r="341" spans="40:40" ht="15" customHeight="1" x14ac:dyDescent="0.3">
      <c r="AN341" s="99"/>
    </row>
    <row r="342" spans="40:40" ht="15" customHeight="1" x14ac:dyDescent="0.3">
      <c r="AN342" s="99"/>
    </row>
    <row r="343" spans="40:40" ht="15" customHeight="1" x14ac:dyDescent="0.3">
      <c r="AN343" s="99"/>
    </row>
    <row r="344" spans="40:40" ht="15" customHeight="1" x14ac:dyDescent="0.3">
      <c r="AN344" s="99"/>
    </row>
    <row r="345" spans="40:40" ht="15" customHeight="1" x14ac:dyDescent="0.3">
      <c r="AN345" s="99"/>
    </row>
    <row r="346" spans="40:40" ht="15" customHeight="1" x14ac:dyDescent="0.3">
      <c r="AN346" s="99"/>
    </row>
    <row r="347" spans="40:40" x14ac:dyDescent="0.3">
      <c r="AN347" s="99"/>
    </row>
    <row r="348" spans="40:40" x14ac:dyDescent="0.3">
      <c r="AN348" s="99"/>
    </row>
    <row r="349" spans="40:40" x14ac:dyDescent="0.3">
      <c r="AN349" s="99"/>
    </row>
    <row r="350" spans="40:40" x14ac:dyDescent="0.3">
      <c r="AN350" s="99"/>
    </row>
    <row r="351" spans="40:40" x14ac:dyDescent="0.3">
      <c r="AN351" s="99"/>
    </row>
    <row r="352" spans="40:40" x14ac:dyDescent="0.3">
      <c r="AN352" s="99"/>
    </row>
    <row r="353" spans="40:40" x14ac:dyDescent="0.3">
      <c r="AN353" s="99"/>
    </row>
    <row r="354" spans="40:40" x14ac:dyDescent="0.3">
      <c r="AN354" s="99"/>
    </row>
    <row r="355" spans="40:40" x14ac:dyDescent="0.3">
      <c r="AN355" s="99"/>
    </row>
    <row r="356" spans="40:40" x14ac:dyDescent="0.3">
      <c r="AN356" s="99"/>
    </row>
    <row r="357" spans="40:40" x14ac:dyDescent="0.3">
      <c r="AN357" s="99"/>
    </row>
    <row r="358" spans="40:40" x14ac:dyDescent="0.3">
      <c r="AN358" s="99"/>
    </row>
    <row r="359" spans="40:40" x14ac:dyDescent="0.3">
      <c r="AN359" s="99"/>
    </row>
    <row r="360" spans="40:40" x14ac:dyDescent="0.3">
      <c r="AN360" s="99"/>
    </row>
    <row r="361" spans="40:40" x14ac:dyDescent="0.3">
      <c r="AN361" s="99"/>
    </row>
    <row r="362" spans="40:40" x14ac:dyDescent="0.3">
      <c r="AN362" s="99"/>
    </row>
    <row r="363" spans="40:40" x14ac:dyDescent="0.3">
      <c r="AN363" s="99"/>
    </row>
    <row r="364" spans="40:40" x14ac:dyDescent="0.3">
      <c r="AN364" s="99"/>
    </row>
    <row r="365" spans="40:40" x14ac:dyDescent="0.3">
      <c r="AN365" s="99"/>
    </row>
    <row r="366" spans="40:40" x14ac:dyDescent="0.3">
      <c r="AN366" s="99"/>
    </row>
    <row r="367" spans="40:40" x14ac:dyDescent="0.3">
      <c r="AN367" s="99"/>
    </row>
    <row r="368" spans="40:40" x14ac:dyDescent="0.3">
      <c r="AN368" s="99"/>
    </row>
  </sheetData>
  <sortState xmlns:xlrd2="http://schemas.microsoft.com/office/spreadsheetml/2017/richdata2" ref="A5:BM302">
    <sortCondition ref="K5:K302"/>
    <sortCondition ref="N5:N302"/>
    <sortCondition ref="O5:O302"/>
  </sortState>
  <mergeCells count="15">
    <mergeCell ref="BB1:BC1"/>
    <mergeCell ref="AP1:AP2"/>
    <mergeCell ref="AQ1:AQ2"/>
    <mergeCell ref="AR1:AR2"/>
    <mergeCell ref="AS1:AS2"/>
    <mergeCell ref="AV1:AV2"/>
    <mergeCell ref="AU1:AU2"/>
    <mergeCell ref="AT1:AT2"/>
    <mergeCell ref="AO1:AO2"/>
    <mergeCell ref="AL1:AL2"/>
    <mergeCell ref="AB1:AB2"/>
    <mergeCell ref="AC1:AC2"/>
    <mergeCell ref="AF1:AF2"/>
    <mergeCell ref="AG1:AH2"/>
    <mergeCell ref="AI1:AI2"/>
  </mergeCells>
  <hyperlinks>
    <hyperlink ref="AF3" r:id="rId1" location="order-vehicle-compatibility" xr:uid="{00000000-0004-0000-0000-000000000000}"/>
    <hyperlink ref="AL3" r:id="rId2" location="order-time-window" xr:uid="{00000000-0004-0000-0000-000001000000}"/>
    <hyperlink ref="AO3" r:id="rId3" location="order-time-window" xr:uid="{00000000-0004-0000-0000-000002000000}"/>
    <hyperlink ref="BB3" r:id="rId4" location="order-service-duration-delivery" xr:uid="{00000000-0004-0000-0000-000003000000}"/>
    <hyperlink ref="BC3" r:id="rId5" location="order-service-duration-delivery" xr:uid="{00000000-0004-0000-0000-000004000000}"/>
    <hyperlink ref="AP3" r:id="rId6" location="order-weight" xr:uid="{00000000-0004-0000-0000-000005000000}"/>
    <hyperlink ref="AQ3" r:id="rId7" location="order-weight" xr:uid="{00000000-0004-0000-0000-000006000000}"/>
    <hyperlink ref="AG3" r:id="rId8" location="optsionalnye-tegi" xr:uid="{00000000-0004-0000-0000-000007000000}"/>
    <hyperlink ref="AH3" r:id="rId9" location="optsionalnye-tegi" xr:uid="{00000000-0004-0000-0000-000008000000}"/>
    <hyperlink ref="AB3" r:id="rId10" location="order-id" xr:uid="{00000000-0004-0000-0000-000009000000}"/>
    <hyperlink ref="AR3" r:id="rId11" location="pickup-and-delivery" xr:uid="{00000000-0004-0000-0000-00000A000000}"/>
    <hyperlink ref="AI3" r:id="rId12" location="sequence-order" xr:uid="{00000000-0004-0000-0000-00000B000000}"/>
    <hyperlink ref="AS3" r:id="rId13" location="order-service-duration-load" xr:uid="{00000000-0004-0000-0000-00000C000000}"/>
    <hyperlink ref="AT3" r:id="rId14" location="order-time-depot-ready" xr:uid="{00000000-0004-0000-0000-00000D000000}"/>
    <hyperlink ref="AV3" r:id="rId15" location="sovmestimost-zakaza-i-avtomobilei" xr:uid="{00000000-0004-0000-0000-00000E000000}"/>
    <hyperlink ref="AN3" r:id="rId16" location="penalties-not-delivering" xr:uid="{00000000-0004-0000-0000-00000F000000}"/>
    <hyperlink ref="AU3" r:id="rId17" location="linking-order-depot" xr:uid="{00000000-0004-0000-0000-000010000000}"/>
    <hyperlink ref="F3" r:id="rId18" location="order-id" xr:uid="{00000000-0004-0000-0000-000011000000}"/>
    <hyperlink ref="AC3" r:id="rId19" location="order-id" xr:uid="{00000000-0004-0000-0000-000012000000}"/>
    <hyperlink ref="AD3" r:id="rId20" location="order-id" xr:uid="{00000000-0004-0000-0000-000013000000}"/>
    <hyperlink ref="AE3" r:id="rId21" location="order-id" xr:uid="{00000000-0004-0000-0000-000014000000}"/>
  </hyperlinks>
  <pageMargins left="0.7" right="0.7" top="0.75" bottom="0.75" header="0.3" footer="0.3"/>
  <pageSetup paperSize="9" orientation="portrait" r:id="rId22"/>
  <legacy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5"/>
  <sheetViews>
    <sheetView tabSelected="1" topLeftCell="R1" zoomScale="160" zoomScaleNormal="160" workbookViewId="0">
      <selection activeCell="W5" sqref="W5"/>
    </sheetView>
  </sheetViews>
  <sheetFormatPr defaultColWidth="9.109375" defaultRowHeight="13.2" x14ac:dyDescent="0.25"/>
  <cols>
    <col min="1" max="1" width="9.109375" style="76"/>
    <col min="2" max="2" width="21.33203125" style="76" customWidth="1"/>
    <col min="3" max="3" width="18.33203125" style="76" customWidth="1"/>
    <col min="4" max="4" width="16.44140625" style="76" customWidth="1"/>
    <col min="5" max="8" width="9.109375" style="76"/>
    <col min="9" max="9" width="13" style="76" customWidth="1"/>
    <col min="10" max="10" width="39.5546875" style="76" bestFit="1" customWidth="1"/>
    <col min="11" max="11" width="18.88671875" style="76" bestFit="1" customWidth="1"/>
    <col min="12" max="12" width="7" style="76" bestFit="1" customWidth="1"/>
    <col min="13" max="13" width="8.6640625" style="76" bestFit="1" customWidth="1"/>
    <col min="14" max="14" width="8.88671875" style="76" bestFit="1" customWidth="1"/>
    <col min="15" max="15" width="10.33203125" style="76" bestFit="1" customWidth="1"/>
    <col min="16" max="16" width="22.6640625" style="76" bestFit="1" customWidth="1"/>
    <col min="17" max="17" width="40.33203125" style="76" bestFit="1" customWidth="1"/>
    <col min="18" max="18" width="13" style="76" bestFit="1" customWidth="1"/>
    <col min="19" max="19" width="20.6640625" style="76" bestFit="1" customWidth="1"/>
    <col min="20" max="20" width="14.33203125" style="76" bestFit="1" customWidth="1"/>
    <col min="21" max="21" width="13.109375" style="76" bestFit="1" customWidth="1"/>
    <col min="22" max="22" width="13" style="76" bestFit="1" customWidth="1"/>
    <col min="23" max="23" width="17" style="76" bestFit="1" customWidth="1"/>
    <col min="24" max="24" width="11.44140625" style="76" bestFit="1" customWidth="1"/>
    <col min="25" max="25" width="12.109375" style="76" bestFit="1" customWidth="1"/>
    <col min="26" max="26" width="7.88671875" style="76" bestFit="1" customWidth="1"/>
    <col min="27" max="27" width="7" style="76" bestFit="1" customWidth="1"/>
    <col min="28" max="29" width="8.88671875" style="76" bestFit="1" customWidth="1"/>
    <col min="30" max="16384" width="9.109375" style="76"/>
  </cols>
  <sheetData>
    <row r="1" spans="1:29" ht="39.6" x14ac:dyDescent="0.25">
      <c r="A1" s="71" t="s">
        <v>1288</v>
      </c>
      <c r="B1" s="72" t="s">
        <v>1289</v>
      </c>
      <c r="C1" s="73" t="s">
        <v>1290</v>
      </c>
      <c r="D1" s="73" t="s">
        <v>1291</v>
      </c>
      <c r="E1" s="73" t="s">
        <v>1292</v>
      </c>
      <c r="F1" s="73" t="s">
        <v>1293</v>
      </c>
      <c r="G1" s="73" t="s">
        <v>1294</v>
      </c>
      <c r="H1" s="73" t="s">
        <v>1295</v>
      </c>
      <c r="I1" s="73" t="s">
        <v>1296</v>
      </c>
      <c r="J1" s="73" t="s">
        <v>1297</v>
      </c>
      <c r="K1" s="74" t="s">
        <v>1069</v>
      </c>
      <c r="L1" s="74" t="s">
        <v>1302</v>
      </c>
      <c r="M1" s="74" t="s">
        <v>1303</v>
      </c>
      <c r="N1" s="74" t="s">
        <v>1304</v>
      </c>
      <c r="O1" s="79" t="s">
        <v>1305</v>
      </c>
      <c r="P1" s="75" t="s">
        <v>1298</v>
      </c>
      <c r="Q1" s="75" t="s">
        <v>1306</v>
      </c>
      <c r="R1" s="75" t="s">
        <v>1307</v>
      </c>
      <c r="S1" s="75" t="s">
        <v>1308</v>
      </c>
      <c r="T1" s="75" t="s">
        <v>1299</v>
      </c>
      <c r="U1" s="75" t="s">
        <v>1300</v>
      </c>
      <c r="V1" s="75" t="s">
        <v>1309</v>
      </c>
      <c r="W1" s="75" t="s">
        <v>1310</v>
      </c>
      <c r="X1" s="80" t="s">
        <v>1313</v>
      </c>
      <c r="Y1" s="36" t="s">
        <v>1360</v>
      </c>
      <c r="Z1" s="36" t="s">
        <v>1361</v>
      </c>
      <c r="AA1" s="36" t="s">
        <v>1362</v>
      </c>
      <c r="AB1" s="36" t="s">
        <v>1363</v>
      </c>
      <c r="AC1" s="80" t="s">
        <v>1686</v>
      </c>
    </row>
    <row r="2" spans="1:29" x14ac:dyDescent="0.25">
      <c r="A2" s="180" t="s">
        <v>2372</v>
      </c>
      <c r="B2" s="180" t="s">
        <v>2373</v>
      </c>
      <c r="C2" s="181" t="s">
        <v>2371</v>
      </c>
      <c r="D2" s="181">
        <v>309</v>
      </c>
      <c r="E2" s="181" t="s">
        <v>2374</v>
      </c>
      <c r="F2" s="181" t="s">
        <v>2371</v>
      </c>
      <c r="G2" s="181">
        <v>406.06</v>
      </c>
      <c r="H2" s="181">
        <v>3</v>
      </c>
      <c r="I2" s="181" t="s">
        <v>2375</v>
      </c>
      <c r="J2" s="181" t="s">
        <v>1365</v>
      </c>
      <c r="K2" s="76">
        <f>VLOOKUP($H2,Orders!$D:$Y,8,0)</f>
        <v>10</v>
      </c>
      <c r="L2" s="76">
        <f>VLOOKUP($H2,Orders!$D:$Y,11,0)</f>
        <v>13</v>
      </c>
      <c r="M2" s="76">
        <f>VLOOKUP($H2,Orders!$D:$Y,12,0)</f>
        <v>14</v>
      </c>
      <c r="N2" s="76">
        <f>INDEX(Orders!J:J,MATCH(K2,Orders!K:K,0))</f>
        <v>9</v>
      </c>
      <c r="O2" s="81">
        <f>VLOOKUP($H2,Orders!$D:$Y,10,0)</f>
        <v>12</v>
      </c>
      <c r="P2" s="76">
        <f>VLOOKUP($K2,Orders!$K:$Z,16,0)</f>
        <v>25</v>
      </c>
      <c r="Q2" s="76">
        <f>VLOOKUP(K2,Orders!$K:$Z,8,0)</f>
        <v>17</v>
      </c>
      <c r="R2" s="82">
        <f>VLOOKUP($Q2,Orders!$R:$Z,2,0)</f>
        <v>18</v>
      </c>
      <c r="S2" s="82">
        <f>VLOOKUP($Q2,Orders!$R:$Z,3,0)</f>
        <v>19</v>
      </c>
      <c r="T2" s="82">
        <f>VLOOKUP($Q2,Orders!$R:$Z,4,0)</f>
        <v>20</v>
      </c>
      <c r="U2" s="82">
        <f>VLOOKUP($Q2,Orders!$R:$Z,5,0)</f>
        <v>21</v>
      </c>
      <c r="V2" s="82">
        <f>VLOOKUP($Q2,Orders!$R:$Z,6,0)</f>
        <v>22</v>
      </c>
      <c r="W2" s="83">
        <f>VLOOKUP($Q2,Orders!$R:$Z,7,0)</f>
        <v>23</v>
      </c>
      <c r="X2" s="82">
        <f>VLOOKUP($Q2,Orders!$R:$Z,8,0)</f>
        <v>24</v>
      </c>
      <c r="AC2" s="82">
        <f>VLOOKUP($Q2,Orders!$R:$AA,10,0)</f>
        <v>26</v>
      </c>
    </row>
    <row r="3" spans="1:29" x14ac:dyDescent="0.25">
      <c r="A3" s="180" t="s">
        <v>2376</v>
      </c>
      <c r="B3" s="180" t="s">
        <v>2377</v>
      </c>
      <c r="C3" s="181" t="s">
        <v>2371</v>
      </c>
      <c r="D3" s="181">
        <v>312</v>
      </c>
      <c r="E3" s="181" t="s">
        <v>2378</v>
      </c>
      <c r="F3" s="181" t="s">
        <v>2371</v>
      </c>
      <c r="G3" s="181">
        <v>16.5</v>
      </c>
      <c r="H3" s="181">
        <v>3</v>
      </c>
      <c r="I3" s="181" t="s">
        <v>2375</v>
      </c>
      <c r="J3" s="181" t="s">
        <v>1365</v>
      </c>
      <c r="K3" s="76">
        <f>VLOOKUP($H3,Orders!$D:$Y,8,0)</f>
        <v>10</v>
      </c>
      <c r="L3" s="76">
        <f>VLOOKUP($H3,Orders!$D:$Y,11,0)</f>
        <v>13</v>
      </c>
      <c r="M3" s="76">
        <f>VLOOKUP($H3,Orders!$D:$Y,12,0)</f>
        <v>14</v>
      </c>
      <c r="N3" s="76">
        <f>INDEX(Orders!J:J,MATCH(K3,Orders!K:K,0))</f>
        <v>9</v>
      </c>
      <c r="O3" s="81">
        <f>VLOOKUP($H3,Orders!$D:$Y,10,0)</f>
        <v>12</v>
      </c>
      <c r="P3" s="76">
        <f>VLOOKUP($K3,Orders!$K:$Z,16,0)</f>
        <v>25</v>
      </c>
      <c r="Q3" s="76">
        <f>VLOOKUP(K3,Orders!$K:$Z,8,0)</f>
        <v>17</v>
      </c>
      <c r="R3" s="82">
        <f>VLOOKUP($Q3,Orders!$R:$Z,2,0)</f>
        <v>18</v>
      </c>
      <c r="S3" s="82">
        <f>VLOOKUP($Q3,Orders!$R:$Z,3,0)</f>
        <v>19</v>
      </c>
      <c r="T3" s="82">
        <f>VLOOKUP($Q3,Orders!$R:$Z,4,0)</f>
        <v>20</v>
      </c>
      <c r="U3" s="82">
        <f>VLOOKUP($Q3,Orders!$R:$Z,5,0)</f>
        <v>21</v>
      </c>
      <c r="V3" s="82">
        <f>VLOOKUP($Q3,Orders!$R:$Z,6,0)</f>
        <v>22</v>
      </c>
      <c r="W3" s="83">
        <f>VLOOKUP($Q3,Orders!$R:$Z,7,0)</f>
        <v>23</v>
      </c>
      <c r="X3" s="82">
        <f>VLOOKUP($Q3,Orders!$R:$Z,8,0)</f>
        <v>24</v>
      </c>
      <c r="AC3" s="82">
        <f>VLOOKUP($Q3,Orders!$R:$AA,10,0)</f>
        <v>26</v>
      </c>
    </row>
    <row r="4" spans="1:29" x14ac:dyDescent="0.25">
      <c r="A4" s="180" t="s">
        <v>2379</v>
      </c>
      <c r="B4" s="180" t="s">
        <v>2377</v>
      </c>
      <c r="C4" s="181" t="s">
        <v>2371</v>
      </c>
      <c r="D4" s="181">
        <v>311</v>
      </c>
      <c r="E4" s="181" t="s">
        <v>2380</v>
      </c>
      <c r="F4" s="181" t="s">
        <v>2371</v>
      </c>
      <c r="G4" s="181">
        <v>15.91</v>
      </c>
      <c r="H4" s="181">
        <v>3</v>
      </c>
      <c r="I4" s="181" t="s">
        <v>2375</v>
      </c>
      <c r="J4" s="181" t="s">
        <v>1365</v>
      </c>
      <c r="K4" s="76">
        <f>VLOOKUP($H4,Orders!$D:$Y,8,0)</f>
        <v>10</v>
      </c>
      <c r="L4" s="76">
        <f>VLOOKUP($H4,Orders!$D:$Y,11,0)</f>
        <v>13</v>
      </c>
      <c r="M4" s="76">
        <f>VLOOKUP($H4,Orders!$D:$Y,12,0)</f>
        <v>14</v>
      </c>
      <c r="N4" s="76">
        <f>INDEX(Orders!J:J,MATCH(K4,Orders!K:K,0))</f>
        <v>9</v>
      </c>
      <c r="O4" s="81">
        <f>VLOOKUP($H4,Orders!$D:$Y,10,0)</f>
        <v>12</v>
      </c>
      <c r="P4" s="76">
        <f>VLOOKUP($K4,Orders!$K:$Z,16,0)</f>
        <v>25</v>
      </c>
      <c r="Q4" s="76">
        <f>VLOOKUP(K4,Orders!$K:$Z,8,0)</f>
        <v>17</v>
      </c>
      <c r="R4" s="82">
        <f>VLOOKUP($Q4,Orders!$R:$Z,2,0)</f>
        <v>18</v>
      </c>
      <c r="S4" s="82">
        <f>VLOOKUP($Q4,Orders!$R:$Z,3,0)</f>
        <v>19</v>
      </c>
      <c r="T4" s="82">
        <f>VLOOKUP($Q4,Orders!$R:$Z,4,0)</f>
        <v>20</v>
      </c>
      <c r="U4" s="82">
        <f>VLOOKUP($Q4,Orders!$R:$Z,5,0)</f>
        <v>21</v>
      </c>
      <c r="V4" s="82">
        <f>VLOOKUP($Q4,Orders!$R:$Z,6,0)</f>
        <v>22</v>
      </c>
      <c r="W4" s="83">
        <f>VLOOKUP($Q4,Orders!$R:$Z,7,0)</f>
        <v>23</v>
      </c>
      <c r="X4" s="82">
        <f>VLOOKUP($Q4,Orders!$R:$Z,8,0)</f>
        <v>24</v>
      </c>
      <c r="AC4" s="82">
        <f>VLOOKUP($Q4,Orders!$R:$AA,10,0)</f>
        <v>26</v>
      </c>
    </row>
    <row r="5" spans="1:29" x14ac:dyDescent="0.25">
      <c r="A5" s="180" t="s">
        <v>2381</v>
      </c>
      <c r="B5" s="180" t="s">
        <v>2377</v>
      </c>
      <c r="C5" s="181" t="s">
        <v>2371</v>
      </c>
      <c r="D5" s="181">
        <v>309</v>
      </c>
      <c r="E5" s="181" t="s">
        <v>2382</v>
      </c>
      <c r="F5" s="181" t="s">
        <v>2371</v>
      </c>
      <c r="G5" s="181">
        <v>121.21</v>
      </c>
      <c r="H5" s="181">
        <v>3</v>
      </c>
      <c r="I5" s="181" t="s">
        <v>2375</v>
      </c>
      <c r="J5" s="181" t="s">
        <v>1365</v>
      </c>
      <c r="K5" s="76">
        <f>VLOOKUP($H5,Orders!$D:$Y,8,0)</f>
        <v>10</v>
      </c>
      <c r="L5" s="76">
        <f>VLOOKUP($H5,Orders!$D:$Y,11,0)</f>
        <v>13</v>
      </c>
      <c r="M5" s="76">
        <f>VLOOKUP($H5,Orders!$D:$Y,12,0)</f>
        <v>14</v>
      </c>
      <c r="N5" s="76">
        <f>INDEX(Orders!J:J,MATCH(K5,Orders!K:K,0))</f>
        <v>9</v>
      </c>
      <c r="O5" s="81">
        <f>VLOOKUP($H5,Orders!$D:$Y,10,0)</f>
        <v>12</v>
      </c>
      <c r="P5" s="76">
        <f>VLOOKUP($K5,Orders!$K:$Z,16,0)</f>
        <v>25</v>
      </c>
      <c r="Q5" s="76">
        <f>VLOOKUP(K5,Orders!$K:$Z,8,0)</f>
        <v>17</v>
      </c>
      <c r="R5" s="82">
        <f>VLOOKUP($Q5,Orders!$R:$Z,2,0)</f>
        <v>18</v>
      </c>
      <c r="S5" s="82">
        <f>VLOOKUP($Q5,Orders!$R:$Z,3,0)</f>
        <v>19</v>
      </c>
      <c r="T5" s="82">
        <f>VLOOKUP($Q5,Orders!$R:$Z,4,0)</f>
        <v>20</v>
      </c>
      <c r="U5" s="82">
        <f>VLOOKUP($Q5,Orders!$R:$Z,5,0)</f>
        <v>21</v>
      </c>
      <c r="V5" s="82">
        <f>VLOOKUP($Q5,Orders!$R:$Z,6,0)</f>
        <v>22</v>
      </c>
      <c r="W5" s="83">
        <f>VLOOKUP($Q5,Orders!$R:$Z,7,0)</f>
        <v>23</v>
      </c>
      <c r="X5" s="82">
        <f>VLOOKUP($Q5,Orders!$R:$Z,8,0)</f>
        <v>24</v>
      </c>
      <c r="AC5" s="82">
        <f>VLOOKUP($Q5,Orders!$R:$AA,10,0)</f>
        <v>26</v>
      </c>
    </row>
  </sheetData>
  <sortState xmlns:xlrd2="http://schemas.microsoft.com/office/spreadsheetml/2017/richdata2" ref="A2:AC6">
    <sortCondition ref="K2:K6"/>
    <sortCondition ref="L2:L6"/>
    <sortCondition ref="M2:M6"/>
  </sortState>
  <phoneticPr fontId="6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ДЛЯ ДОМИНО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2025-11-12T14:53:37Z</dcterms:modified>
</cp:coreProperties>
</file>